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32E" lockStructure="1"/>
  <bookViews>
    <workbookView visibility="visible" minimized="0" showHorizontalScroll="1" showVerticalScroll="1" showSheetTabs="1" tabRatio="600" firstSheet="0" activeTab="0" autoFilterDateGrouping="1"/>
  </bookViews>
  <sheets>
    <sheet name="Operational_Data_Entry" sheetId="1" state="visible" r:id="rId1"/>
    <sheet name="Operational_Summary" sheetId="2" state="visible" r:id="rId2"/>
    <sheet name="Pivot_Operational" sheetId="3" state="visible" r:id="rId3"/>
    <sheet name="Transaction_Records" sheetId="4" state="visible" r:id="rId4"/>
    <sheet name="Transaction_Summary" sheetId="5" state="visible" r:id="rId5"/>
    <sheet name="Pivot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F81BD"/>
      <sz val="14"/>
    </font>
    <font>
      <name val="Calibri"/>
      <b val="1"/>
      <sz val="11"/>
    </font>
    <font>
      <name val="Calibri"/>
      <b val="1"/>
      <color rgb="008064A2"/>
      <sz val="14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  <fill>
      <patternFill patternType="solid">
        <fgColor rgb="00C6EFCE"/>
        <bgColor rgb="00C6EFCE"/>
      </patternFill>
    </fill>
    <fill>
      <patternFill patternType="solid">
        <fgColor rgb="009BBB59"/>
        <bgColor rgb="009BBB5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21" customWidth="1" min="4" max="4"/>
    <col width="14" customWidth="1" min="5" max="5"/>
    <col width="17" customWidth="1" min="6" max="6"/>
    <col width="32" customWidth="1" min="7" max="7"/>
    <col width="50" customWidth="1" min="8" max="8"/>
    <col width="18" customWidth="1" min="9" max="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Hours Worked</t>
        </is>
      </c>
      <c r="F1" s="1" t="inlineStr">
        <is>
          <t>Tasks Completed</t>
        </is>
      </c>
      <c r="G1" s="1" t="inlineStr">
        <is>
          <t>Efficiency Score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EMP0010</t>
        </is>
      </c>
      <c r="B2" s="3" t="inlineStr">
        <is>
          <t>Daniel Thomas</t>
        </is>
      </c>
      <c r="C2" s="3" t="inlineStr">
        <is>
          <t>Finance</t>
        </is>
      </c>
      <c r="D2" s="4" t="n">
        <v>45566</v>
      </c>
      <c r="E2" s="5" t="n">
        <v>8.5</v>
      </c>
      <c r="F2" s="3" t="n">
        <v>10</v>
      </c>
      <c r="G2" s="3">
        <f>IFERROR(ROUND(F2/E2,2),0)</f>
        <v/>
      </c>
      <c r="H2" s="3">
        <f>IF(E2&gt;8.5,"Overtime",IF(E2&lt;7,"Undertime","Normal"))</f>
        <v/>
      </c>
      <c r="I2" s="3" t="inlineStr">
        <is>
          <t>Regular duties</t>
        </is>
      </c>
    </row>
    <row r="3">
      <c r="A3" s="2" t="inlineStr">
        <is>
          <t>EMP0012</t>
        </is>
      </c>
      <c r="B3" s="3" t="inlineStr">
        <is>
          <t>Joseph Jackson</t>
        </is>
      </c>
      <c r="C3" s="3" t="inlineStr">
        <is>
          <t>Marketing</t>
        </is>
      </c>
      <c r="D3" s="4" t="n">
        <v>45567</v>
      </c>
      <c r="E3" s="3" t="n">
        <v>7.4</v>
      </c>
      <c r="F3" s="3" t="n">
        <v>5</v>
      </c>
      <c r="G3" s="3">
        <f>IFERROR(ROUND(F3/E3,2),0)</f>
        <v/>
      </c>
      <c r="H3" s="3">
        <f>IF(E3&gt;8.5,"Overtime",IF(E3&lt;7,"Undertime","Normal"))</f>
        <v/>
      </c>
      <c r="I3" s="3" t="inlineStr">
        <is>
          <t>Regular duties</t>
        </is>
      </c>
    </row>
    <row r="4">
      <c r="A4" s="2" t="inlineStr">
        <is>
          <t>EMP0034</t>
        </is>
      </c>
      <c r="B4" s="3" t="inlineStr">
        <is>
          <t>John Miller</t>
        </is>
      </c>
      <c r="C4" s="3" t="inlineStr">
        <is>
          <t>Marketing</t>
        </is>
      </c>
      <c r="D4" s="4" t="n">
        <v>45567</v>
      </c>
      <c r="E4" s="6" t="n">
        <v>9.1</v>
      </c>
      <c r="F4" s="3" t="n">
        <v>6</v>
      </c>
      <c r="G4" s="3">
        <f>IFERROR(ROUND(F4/E4,2),0)</f>
        <v/>
      </c>
      <c r="H4" s="3">
        <f>IF(E4&gt;8.5,"Overtime",IF(E4&lt;7,"Undertime","Normal"))</f>
        <v/>
      </c>
      <c r="I4" s="3" t="inlineStr"/>
    </row>
    <row r="5">
      <c r="A5" s="2" t="inlineStr">
        <is>
          <t>EMP0050</t>
        </is>
      </c>
      <c r="B5" s="3" t="inlineStr">
        <is>
          <t>David Miller</t>
        </is>
      </c>
      <c r="C5" s="3" t="inlineStr">
        <is>
          <t>HR</t>
        </is>
      </c>
      <c r="D5" s="4" t="n">
        <v>45568</v>
      </c>
      <c r="E5" s="3" t="n">
        <v>7.6</v>
      </c>
      <c r="F5" s="3" t="n">
        <v>5</v>
      </c>
      <c r="G5" s="3">
        <f>IFERROR(ROUND(F5/E5,2),0)</f>
        <v/>
      </c>
      <c r="H5" s="3">
        <f>IF(E5&gt;8.5,"Overtime",IF(E5&lt;7,"Undertime","Normal"))</f>
        <v/>
      </c>
      <c r="I5" s="3" t="inlineStr">
        <is>
          <t>Training period</t>
        </is>
      </c>
    </row>
    <row r="6">
      <c r="A6" s="2" t="inlineStr">
        <is>
          <t>EMP0012</t>
        </is>
      </c>
      <c r="B6" s="3" t="inlineStr">
        <is>
          <t>Joseph Jackson</t>
        </is>
      </c>
      <c r="C6" s="3" t="inlineStr">
        <is>
          <t>Marketing</t>
        </is>
      </c>
      <c r="D6" s="4" t="n">
        <v>45570</v>
      </c>
      <c r="E6" s="3" t="n">
        <v>7.9</v>
      </c>
      <c r="F6" s="3" t="n">
        <v>8</v>
      </c>
      <c r="G6" s="3">
        <f>IFERROR(ROUND(F6/E6,2),0)</f>
        <v/>
      </c>
      <c r="H6" s="3">
        <f>IF(E6&gt;8.5,"Overtime",IF(E6&lt;7,"Undertime","Normal"))</f>
        <v/>
      </c>
      <c r="I6" s="3" t="inlineStr">
        <is>
          <t>Training period</t>
        </is>
      </c>
    </row>
    <row r="7">
      <c r="A7" s="2" t="inlineStr">
        <is>
          <t>EMP0005</t>
        </is>
      </c>
      <c r="B7" s="3" t="inlineStr">
        <is>
          <t>James Brown</t>
        </is>
      </c>
      <c r="C7" s="3" t="inlineStr">
        <is>
          <t>Marketing</t>
        </is>
      </c>
      <c r="D7" s="4" t="n">
        <v>45572</v>
      </c>
      <c r="E7" s="5" t="n">
        <v>8.9</v>
      </c>
      <c r="F7" s="3" t="n">
        <v>5</v>
      </c>
      <c r="G7" s="3">
        <f>IFERROR(ROUND(F7/E7,2),0)</f>
        <v/>
      </c>
      <c r="H7" s="3">
        <f>IF(E7&gt;8.5,"Overtime",IF(E7&lt;7,"Undertime","Normal"))</f>
        <v/>
      </c>
      <c r="I7" s="3" t="inlineStr">
        <is>
          <t>High performance</t>
        </is>
      </c>
    </row>
    <row r="8">
      <c r="A8" s="2" t="inlineStr">
        <is>
          <t>EMP0048</t>
        </is>
      </c>
      <c r="B8" s="3" t="inlineStr">
        <is>
          <t>Daniel Miller</t>
        </is>
      </c>
      <c r="C8" s="3" t="inlineStr">
        <is>
          <t>Finance</t>
        </is>
      </c>
      <c r="D8" s="4" t="n">
        <v>45572</v>
      </c>
      <c r="E8" s="5" t="n">
        <v>8.1</v>
      </c>
      <c r="F8" s="3" t="n">
        <v>8</v>
      </c>
      <c r="G8" s="3">
        <f>IFERROR(ROUND(F8/E8,2),0)</f>
        <v/>
      </c>
      <c r="H8" s="3">
        <f>IF(E8&gt;8.5,"Overtime",IF(E8&lt;7,"Undertime","Normal"))</f>
        <v/>
      </c>
      <c r="I8" s="3" t="inlineStr">
        <is>
          <t>Training period</t>
        </is>
      </c>
    </row>
    <row r="9">
      <c r="A9" s="2" t="inlineStr">
        <is>
          <t>EMP0039</t>
        </is>
      </c>
      <c r="B9" s="3" t="inlineStr">
        <is>
          <t>Michael Martinez</t>
        </is>
      </c>
      <c r="C9" s="3" t="inlineStr">
        <is>
          <t>Marketing</t>
        </is>
      </c>
      <c r="D9" s="4" t="n">
        <v>45573</v>
      </c>
      <c r="E9" s="6" t="n">
        <v>9.5</v>
      </c>
      <c r="F9" s="3" t="n">
        <v>6</v>
      </c>
      <c r="G9" s="3">
        <f>IFERROR(ROUND(F9/E9,2),0)</f>
        <v/>
      </c>
      <c r="H9" s="3">
        <f>IF(E9&gt;8.5,"Overtime",IF(E9&lt;7,"Undertime","Normal"))</f>
        <v/>
      </c>
      <c r="I9" s="3" t="inlineStr"/>
    </row>
    <row r="10">
      <c r="A10" s="2" t="inlineStr">
        <is>
          <t>EMP0048</t>
        </is>
      </c>
      <c r="B10" s="3" t="inlineStr">
        <is>
          <t>Daniel Miller</t>
        </is>
      </c>
      <c r="C10" s="3" t="inlineStr">
        <is>
          <t>Finance</t>
        </is>
      </c>
      <c r="D10" s="4" t="n">
        <v>45573</v>
      </c>
      <c r="E10" s="3" t="n">
        <v>6.9</v>
      </c>
      <c r="F10" s="3" t="n">
        <v>6</v>
      </c>
      <c r="G10" s="3">
        <f>IFERROR(ROUND(F10/E10,2),0)</f>
        <v/>
      </c>
      <c r="H10" s="3">
        <f>IF(E10&gt;8.5,"Overtime",IF(E10&lt;7,"Undertime","Normal"))</f>
        <v/>
      </c>
      <c r="I10" s="3" t="inlineStr">
        <is>
          <t>High performance</t>
        </is>
      </c>
    </row>
    <row r="11">
      <c r="A11" s="2" t="inlineStr">
        <is>
          <t>EMP0008</t>
        </is>
      </c>
      <c r="B11" s="3" t="inlineStr">
        <is>
          <t>Jessica Anderson</t>
        </is>
      </c>
      <c r="C11" s="3" t="inlineStr">
        <is>
          <t>Operations</t>
        </is>
      </c>
      <c r="D11" s="4" t="n">
        <v>45574</v>
      </c>
      <c r="E11" s="3" t="n">
        <v>6.7</v>
      </c>
      <c r="F11" s="3" t="n">
        <v>3</v>
      </c>
      <c r="G11" s="3">
        <f>IFERROR(ROUND(F11/E11,2),0)</f>
        <v/>
      </c>
      <c r="H11" s="3">
        <f>IF(E11&gt;8.5,"Overtime",IF(E11&lt;7,"Undertime","Normal"))</f>
        <v/>
      </c>
      <c r="I11" s="3" t="inlineStr">
        <is>
          <t>Project deadline</t>
        </is>
      </c>
    </row>
    <row r="12">
      <c r="A12" s="2" t="inlineStr">
        <is>
          <t>EMP0043</t>
        </is>
      </c>
      <c r="B12" s="3" t="inlineStr">
        <is>
          <t>Nancy Wilson</t>
        </is>
      </c>
      <c r="C12" s="3" t="inlineStr">
        <is>
          <t>Marketing</t>
        </is>
      </c>
      <c r="D12" s="4" t="n">
        <v>45575</v>
      </c>
      <c r="E12" s="3" t="n">
        <v>6.7</v>
      </c>
      <c r="F12" s="3" t="n">
        <v>8</v>
      </c>
      <c r="G12" s="3">
        <f>IFERROR(ROUND(F12/E12,2),0)</f>
        <v/>
      </c>
      <c r="H12" s="3">
        <f>IF(E12&gt;8.5,"Overtime",IF(E12&lt;7,"Undertime","Normal"))</f>
        <v/>
      </c>
      <c r="I12" s="3" t="inlineStr">
        <is>
          <t>On schedule</t>
        </is>
      </c>
    </row>
    <row r="13">
      <c r="A13" s="2" t="inlineStr">
        <is>
          <t>EMP0043</t>
        </is>
      </c>
      <c r="B13" s="3" t="inlineStr">
        <is>
          <t>Nancy Wilson</t>
        </is>
      </c>
      <c r="C13" s="3" t="inlineStr">
        <is>
          <t>Marketing</t>
        </is>
      </c>
      <c r="D13" s="4" t="n">
        <v>45578</v>
      </c>
      <c r="E13" s="6" t="n">
        <v>9.9</v>
      </c>
      <c r="F13" s="3" t="n">
        <v>15</v>
      </c>
      <c r="G13" s="3">
        <f>IFERROR(ROUND(F13/E13,2),0)</f>
        <v/>
      </c>
      <c r="H13" s="3">
        <f>IF(E13&gt;8.5,"Overtime",IF(E13&lt;7,"Undertime","Normal"))</f>
        <v/>
      </c>
      <c r="I13" s="3" t="inlineStr">
        <is>
          <t>On schedule</t>
        </is>
      </c>
    </row>
    <row r="14">
      <c r="A14" s="2" t="inlineStr">
        <is>
          <t>EMP0020</t>
        </is>
      </c>
      <c r="B14" s="3" t="inlineStr">
        <is>
          <t>John Moore</t>
        </is>
      </c>
      <c r="C14" s="3" t="inlineStr">
        <is>
          <t>Operations</t>
        </is>
      </c>
      <c r="D14" s="4" t="n">
        <v>45579</v>
      </c>
      <c r="E14" s="5" t="n">
        <v>8.9</v>
      </c>
      <c r="F14" s="3" t="n">
        <v>9</v>
      </c>
      <c r="G14" s="3">
        <f>IFERROR(ROUND(F14/E14,2),0)</f>
        <v/>
      </c>
      <c r="H14" s="3">
        <f>IF(E14&gt;8.5,"Overtime",IF(E14&lt;7,"Undertime","Normal"))</f>
        <v/>
      </c>
      <c r="I14" s="3" t="inlineStr"/>
    </row>
    <row r="15">
      <c r="A15" s="2" t="inlineStr">
        <is>
          <t>EMP0045</t>
        </is>
      </c>
      <c r="B15" s="3" t="inlineStr">
        <is>
          <t>Michael Thompson</t>
        </is>
      </c>
      <c r="C15" s="3" t="inlineStr">
        <is>
          <t>Sales</t>
        </is>
      </c>
      <c r="D15" s="4" t="n">
        <v>45579</v>
      </c>
      <c r="E15" s="6" t="n">
        <v>9.4</v>
      </c>
      <c r="F15" s="3" t="n">
        <v>11</v>
      </c>
      <c r="G15" s="3">
        <f>IFERROR(ROUND(F15/E15,2),0)</f>
        <v/>
      </c>
      <c r="H15" s="3">
        <f>IF(E15&gt;8.5,"Overtime",IF(E15&lt;7,"Undertime","Normal"))</f>
        <v/>
      </c>
      <c r="I15" s="3" t="inlineStr"/>
    </row>
    <row r="16">
      <c r="A16" s="2" t="inlineStr">
        <is>
          <t>EMP0015</t>
        </is>
      </c>
      <c r="B16" s="3" t="inlineStr">
        <is>
          <t>Jessica White</t>
        </is>
      </c>
      <c r="C16" s="3" t="inlineStr">
        <is>
          <t>Marketing</t>
        </is>
      </c>
      <c r="D16" s="4" t="n">
        <v>45581</v>
      </c>
      <c r="E16" s="3" t="n">
        <v>7.2</v>
      </c>
      <c r="F16" s="3" t="n">
        <v>3</v>
      </c>
      <c r="G16" s="3">
        <f>IFERROR(ROUND(F16/E16,2),0)</f>
        <v/>
      </c>
      <c r="H16" s="3">
        <f>IF(E16&gt;8.5,"Overtime",IF(E16&lt;7,"Undertime","Normal"))</f>
        <v/>
      </c>
      <c r="I16" s="3" t="inlineStr">
        <is>
          <t>Regular duties</t>
        </is>
      </c>
    </row>
    <row r="17">
      <c r="A17" s="2" t="inlineStr">
        <is>
          <t>EMP0026</t>
        </is>
      </c>
      <c r="B17" s="3" t="inlineStr">
        <is>
          <t>Thomas Thompson</t>
        </is>
      </c>
      <c r="C17" s="3" t="inlineStr">
        <is>
          <t>Finance</t>
        </is>
      </c>
      <c r="D17" s="4" t="n">
        <v>45581</v>
      </c>
      <c r="E17" s="6" t="n">
        <v>9.1</v>
      </c>
      <c r="F17" s="3" t="n">
        <v>9</v>
      </c>
      <c r="G17" s="3">
        <f>IFERROR(ROUND(F17/E17,2),0)</f>
        <v/>
      </c>
      <c r="H17" s="3">
        <f>IF(E17&gt;8.5,"Overtime",IF(E17&lt;7,"Undertime","Normal"))</f>
        <v/>
      </c>
      <c r="I17" s="3" t="inlineStr">
        <is>
          <t>Regular duties</t>
        </is>
      </c>
    </row>
    <row r="18">
      <c r="A18" s="2" t="inlineStr">
        <is>
          <t>EMP0023</t>
        </is>
      </c>
      <c r="B18" s="3" t="inlineStr">
        <is>
          <t>Betty Rodriguez</t>
        </is>
      </c>
      <c r="C18" s="3" t="inlineStr">
        <is>
          <t>Finance</t>
        </is>
      </c>
      <c r="D18" s="4" t="n">
        <v>45583</v>
      </c>
      <c r="E18" s="3" t="n">
        <v>7.2</v>
      </c>
      <c r="F18" s="3" t="n">
        <v>10</v>
      </c>
      <c r="G18" s="3">
        <f>IFERROR(ROUND(F18/E18,2),0)</f>
        <v/>
      </c>
      <c r="H18" s="3">
        <f>IF(E18&gt;8.5,"Overtime",IF(E18&lt;7,"Undertime","Normal"))</f>
        <v/>
      </c>
      <c r="I18" s="3" t="inlineStr">
        <is>
          <t>Training period</t>
        </is>
      </c>
    </row>
    <row r="19">
      <c r="A19" s="2" t="inlineStr">
        <is>
          <t>EMP0019</t>
        </is>
      </c>
      <c r="B19" s="3" t="inlineStr">
        <is>
          <t>Robert Wilson</t>
        </is>
      </c>
      <c r="C19" s="3" t="inlineStr">
        <is>
          <t>Operations</t>
        </is>
      </c>
      <c r="D19" s="4" t="n">
        <v>45584</v>
      </c>
      <c r="E19" s="3" t="n">
        <v>7.6</v>
      </c>
      <c r="F19" s="3" t="n">
        <v>8</v>
      </c>
      <c r="G19" s="3">
        <f>IFERROR(ROUND(F19/E19,2),0)</f>
        <v/>
      </c>
      <c r="H19" s="3">
        <f>IF(E19&gt;8.5,"Overtime",IF(E19&lt;7,"Undertime","Normal"))</f>
        <v/>
      </c>
      <c r="I19" s="3" t="inlineStr">
        <is>
          <t>Training period</t>
        </is>
      </c>
    </row>
    <row r="20">
      <c r="A20" s="2" t="inlineStr">
        <is>
          <t>EMP0031</t>
        </is>
      </c>
      <c r="B20" s="3" t="inlineStr">
        <is>
          <t>Jennifer Garcia</t>
        </is>
      </c>
      <c r="C20" s="3" t="inlineStr">
        <is>
          <t>Finance</t>
        </is>
      </c>
      <c r="D20" s="4" t="n">
        <v>45584</v>
      </c>
      <c r="E20" s="5" t="n">
        <v>9</v>
      </c>
      <c r="F20" s="3" t="n">
        <v>4</v>
      </c>
      <c r="G20" s="3">
        <f>IFERROR(ROUND(F20/E20,2),0)</f>
        <v/>
      </c>
      <c r="H20" s="3">
        <f>IF(E20&gt;8.5,"Overtime",IF(E20&lt;7,"Undertime","Normal"))</f>
        <v/>
      </c>
      <c r="I20" s="3" t="inlineStr">
        <is>
          <t>High performance</t>
        </is>
      </c>
    </row>
    <row r="21">
      <c r="A21" s="2" t="inlineStr">
        <is>
          <t>EMP0006</t>
        </is>
      </c>
      <c r="B21" s="3" t="inlineStr">
        <is>
          <t>William Wilson</t>
        </is>
      </c>
      <c r="C21" s="3" t="inlineStr">
        <is>
          <t>HR</t>
        </is>
      </c>
      <c r="D21" s="4" t="n">
        <v>45585</v>
      </c>
      <c r="E21" s="6" t="n">
        <v>9.4</v>
      </c>
      <c r="F21" s="3" t="n">
        <v>8</v>
      </c>
      <c r="G21" s="3">
        <f>IFERROR(ROUND(F21/E21,2),0)</f>
        <v/>
      </c>
      <c r="H21" s="3">
        <f>IF(E21&gt;8.5,"Overtime",IF(E21&lt;7,"Undertime","Normal"))</f>
        <v/>
      </c>
      <c r="I21" s="3" t="inlineStr">
        <is>
          <t>High performance</t>
        </is>
      </c>
    </row>
    <row r="22">
      <c r="A22" s="2" t="inlineStr">
        <is>
          <t>EMP0041</t>
        </is>
      </c>
      <c r="B22" s="3" t="inlineStr">
        <is>
          <t>Jessica Anderson</t>
        </is>
      </c>
      <c r="C22" s="3" t="inlineStr">
        <is>
          <t>Sales</t>
        </is>
      </c>
      <c r="D22" s="4" t="n">
        <v>45586</v>
      </c>
      <c r="E22" s="3" t="n">
        <v>8</v>
      </c>
      <c r="F22" s="3" t="n">
        <v>14</v>
      </c>
      <c r="G22" s="3">
        <f>IFERROR(ROUND(F22/E22,2),0)</f>
        <v/>
      </c>
      <c r="H22" s="3">
        <f>IF(E22&gt;8.5,"Overtime",IF(E22&lt;7,"Undertime","Normal"))</f>
        <v/>
      </c>
      <c r="I22" s="3" t="inlineStr">
        <is>
          <t>On schedule</t>
        </is>
      </c>
    </row>
    <row r="23">
      <c r="A23" s="2" t="inlineStr">
        <is>
          <t>EMP0036</t>
        </is>
      </c>
      <c r="B23" s="3" t="inlineStr">
        <is>
          <t>Sarah Jackson</t>
        </is>
      </c>
      <c r="C23" s="3" t="inlineStr">
        <is>
          <t>Marketing</t>
        </is>
      </c>
      <c r="D23" s="4" t="n">
        <v>45588</v>
      </c>
      <c r="E23" s="3" t="n">
        <v>8</v>
      </c>
      <c r="F23" s="3" t="n">
        <v>12</v>
      </c>
      <c r="G23" s="3">
        <f>IFERROR(ROUND(F23/E23,2),0)</f>
        <v/>
      </c>
      <c r="H23" s="3">
        <f>IF(E23&gt;8.5,"Overtime",IF(E23&lt;7,"Undertime","Normal"))</f>
        <v/>
      </c>
      <c r="I23" s="3" t="inlineStr">
        <is>
          <t>Regular duties</t>
        </is>
      </c>
    </row>
    <row r="24">
      <c r="A24" s="2" t="inlineStr">
        <is>
          <t>EMP0002</t>
        </is>
      </c>
      <c r="B24" s="3" t="inlineStr">
        <is>
          <t>Robert Moore</t>
        </is>
      </c>
      <c r="C24" s="3" t="inlineStr">
        <is>
          <t>Marketing</t>
        </is>
      </c>
      <c r="D24" s="4" t="n">
        <v>45589</v>
      </c>
      <c r="E24" s="3" t="n">
        <v>7.3</v>
      </c>
      <c r="F24" s="3" t="n">
        <v>3</v>
      </c>
      <c r="G24" s="3">
        <f>IFERROR(ROUND(F24/E24,2),0)</f>
        <v/>
      </c>
      <c r="H24" s="3">
        <f>IF(E24&gt;8.5,"Overtime",IF(E24&lt;7,"Undertime","Normal"))</f>
        <v/>
      </c>
      <c r="I24" s="3" t="inlineStr">
        <is>
          <t>Project deadline</t>
        </is>
      </c>
    </row>
    <row r="25">
      <c r="A25" s="2" t="inlineStr">
        <is>
          <t>EMP0017</t>
        </is>
      </c>
      <c r="B25" s="3" t="inlineStr">
        <is>
          <t>John Miller</t>
        </is>
      </c>
      <c r="C25" s="3" t="inlineStr">
        <is>
          <t>IT</t>
        </is>
      </c>
      <c r="D25" s="4" t="n">
        <v>45589</v>
      </c>
      <c r="E25" s="3" t="n">
        <v>7.4</v>
      </c>
      <c r="F25" s="3" t="n">
        <v>10</v>
      </c>
      <c r="G25" s="3">
        <f>IFERROR(ROUND(F25/E25,2),0)</f>
        <v/>
      </c>
      <c r="H25" s="3">
        <f>IF(E25&gt;8.5,"Overtime",IF(E25&lt;7,"Undertime","Normal"))</f>
        <v/>
      </c>
      <c r="I25" s="3" t="inlineStr">
        <is>
          <t>On schedule</t>
        </is>
      </c>
    </row>
    <row r="26">
      <c r="A26" s="2" t="inlineStr">
        <is>
          <t>EMP0043</t>
        </is>
      </c>
      <c r="B26" s="3" t="inlineStr">
        <is>
          <t>Nancy Wilson</t>
        </is>
      </c>
      <c r="C26" s="3" t="inlineStr">
        <is>
          <t>Marketing</t>
        </is>
      </c>
      <c r="D26" s="4" t="n">
        <v>45589</v>
      </c>
      <c r="E26" s="6" t="n">
        <v>10</v>
      </c>
      <c r="F26" s="3" t="n">
        <v>13</v>
      </c>
      <c r="G26" s="3">
        <f>IFERROR(ROUND(F26/E26,2),0)</f>
        <v/>
      </c>
      <c r="H26" s="3">
        <f>IF(E26&gt;8.5,"Overtime",IF(E26&lt;7,"Undertime","Normal"))</f>
        <v/>
      </c>
      <c r="I26" s="3" t="inlineStr">
        <is>
          <t>On schedule</t>
        </is>
      </c>
    </row>
    <row r="27">
      <c r="A27" s="2" t="inlineStr">
        <is>
          <t>EMP0013</t>
        </is>
      </c>
      <c r="B27" s="3" t="inlineStr">
        <is>
          <t>Patricia Martinez</t>
        </is>
      </c>
      <c r="C27" s="3" t="inlineStr">
        <is>
          <t>Sales</t>
        </is>
      </c>
      <c r="D27" s="4" t="n">
        <v>45593</v>
      </c>
      <c r="E27" s="3" t="n">
        <v>6.5</v>
      </c>
      <c r="F27" s="3" t="n">
        <v>8</v>
      </c>
      <c r="G27" s="3">
        <f>IFERROR(ROUND(F27/E27,2),0)</f>
        <v/>
      </c>
      <c r="H27" s="3">
        <f>IF(E27&gt;8.5,"Overtime",IF(E27&lt;7,"Undertime","Normal"))</f>
        <v/>
      </c>
      <c r="I27" s="3" t="inlineStr">
        <is>
          <t>Regular duties</t>
        </is>
      </c>
    </row>
    <row r="28">
      <c r="A28" s="2" t="inlineStr">
        <is>
          <t>EMP0011</t>
        </is>
      </c>
      <c r="B28" s="3" t="inlineStr">
        <is>
          <t>Karen Davis</t>
        </is>
      </c>
      <c r="C28" s="3" t="inlineStr">
        <is>
          <t>Operations</t>
        </is>
      </c>
      <c r="D28" s="4" t="n">
        <v>45595</v>
      </c>
      <c r="E28" s="3" t="n">
        <v>7.9</v>
      </c>
      <c r="F28" s="3" t="n">
        <v>4</v>
      </c>
      <c r="G28" s="3">
        <f>IFERROR(ROUND(F28/E28,2),0)</f>
        <v/>
      </c>
      <c r="H28" s="3">
        <f>IF(E28&gt;8.5,"Overtime",IF(E28&lt;7,"Undertime","Normal"))</f>
        <v/>
      </c>
      <c r="I28" s="3" t="inlineStr">
        <is>
          <t>Regular duties</t>
        </is>
      </c>
    </row>
    <row r="29">
      <c r="A29" s="2" t="inlineStr">
        <is>
          <t>EMP0014</t>
        </is>
      </c>
      <c r="B29" s="3" t="inlineStr">
        <is>
          <t>James Thomas</t>
        </is>
      </c>
      <c r="C29" s="3" t="inlineStr">
        <is>
          <t>HR</t>
        </is>
      </c>
      <c r="D29" s="4" t="n">
        <v>45595</v>
      </c>
      <c r="E29" s="3" t="n">
        <v>7.3</v>
      </c>
      <c r="F29" s="3" t="n">
        <v>11</v>
      </c>
      <c r="G29" s="3">
        <f>IFERROR(ROUND(F29/E29,2),0)</f>
        <v/>
      </c>
      <c r="H29" s="3">
        <f>IF(E29&gt;8.5,"Overtime",IF(E29&lt;7,"Undertime","Normal"))</f>
        <v/>
      </c>
      <c r="I29" s="3" t="inlineStr">
        <is>
          <t>Project deadline</t>
        </is>
      </c>
    </row>
    <row r="30">
      <c r="A30" s="2" t="inlineStr">
        <is>
          <t>EMP0023</t>
        </is>
      </c>
      <c r="B30" s="3" t="inlineStr">
        <is>
          <t>Betty Rodriguez</t>
        </is>
      </c>
      <c r="C30" s="3" t="inlineStr">
        <is>
          <t>Finance</t>
        </is>
      </c>
      <c r="D30" s="4" t="n">
        <v>45596</v>
      </c>
      <c r="E30" s="3" t="n">
        <v>7.8</v>
      </c>
      <c r="F30" s="3" t="n">
        <v>12</v>
      </c>
      <c r="G30" s="3">
        <f>IFERROR(ROUND(F30/E30,2),0)</f>
        <v/>
      </c>
      <c r="H30" s="3">
        <f>IF(E30&gt;8.5,"Overtime",IF(E30&lt;7,"Undertime","Normal"))</f>
        <v/>
      </c>
      <c r="I30" s="3" t="inlineStr">
        <is>
          <t>Training period</t>
        </is>
      </c>
    </row>
    <row r="31">
      <c r="A31" s="2" t="inlineStr">
        <is>
          <t>EMP0025</t>
        </is>
      </c>
      <c r="B31" s="3" t="inlineStr">
        <is>
          <t>William Garcia</t>
        </is>
      </c>
      <c r="C31" s="3" t="inlineStr">
        <is>
          <t>Sales</t>
        </is>
      </c>
      <c r="D31" s="4" t="n">
        <v>45596</v>
      </c>
      <c r="E31" s="3" t="n">
        <v>7</v>
      </c>
      <c r="F31" s="3" t="n">
        <v>14</v>
      </c>
      <c r="G31" s="3">
        <f>IFERROR(ROUND(F31/E31,2),0)</f>
        <v/>
      </c>
      <c r="H31" s="3">
        <f>IF(E31&gt;8.5,"Overtime",IF(E31&lt;7,"Undertime","Normal"))</f>
        <v/>
      </c>
      <c r="I31" s="3" t="inlineStr">
        <is>
          <t>High performance</t>
        </is>
      </c>
    </row>
    <row r="32">
      <c r="A32" s="2" t="inlineStr">
        <is>
          <t>EMP0048</t>
        </is>
      </c>
      <c r="B32" s="3" t="inlineStr">
        <is>
          <t>Daniel Miller</t>
        </is>
      </c>
      <c r="C32" s="3" t="inlineStr">
        <is>
          <t>Finance</t>
        </is>
      </c>
      <c r="D32" s="4" t="n">
        <v>45596</v>
      </c>
      <c r="E32" s="3" t="n">
        <v>7.6</v>
      </c>
      <c r="F32" s="3" t="n">
        <v>5</v>
      </c>
      <c r="G32" s="3">
        <f>IFERROR(ROUND(F32/E32,2),0)</f>
        <v/>
      </c>
      <c r="H32" s="3">
        <f>IF(E32&gt;8.5,"Overtime",IF(E32&lt;7,"Undertime","Normal"))</f>
        <v/>
      </c>
      <c r="I32" s="3" t="inlineStr"/>
    </row>
    <row r="33">
      <c r="A33" s="2" t="inlineStr">
        <is>
          <t>EMP0005</t>
        </is>
      </c>
      <c r="B33" s="3" t="inlineStr">
        <is>
          <t>James Brown</t>
        </is>
      </c>
      <c r="C33" s="3" t="inlineStr">
        <is>
          <t>Marketing</t>
        </is>
      </c>
      <c r="D33" s="4" t="n">
        <v>45597</v>
      </c>
      <c r="E33" s="5" t="n">
        <v>8.4</v>
      </c>
      <c r="F33" s="3" t="n">
        <v>15</v>
      </c>
      <c r="G33" s="3">
        <f>IFERROR(ROUND(F33/E33,2),0)</f>
        <v/>
      </c>
      <c r="H33" s="3">
        <f>IF(E33&gt;8.5,"Overtime",IF(E33&lt;7,"Undertime","Normal"))</f>
        <v/>
      </c>
      <c r="I33" s="3" t="inlineStr">
        <is>
          <t>Regular duties</t>
        </is>
      </c>
    </row>
    <row r="34">
      <c r="A34" s="2" t="inlineStr">
        <is>
          <t>EMP0008</t>
        </is>
      </c>
      <c r="B34" s="3" t="inlineStr">
        <is>
          <t>Jessica Anderson</t>
        </is>
      </c>
      <c r="C34" s="3" t="inlineStr">
        <is>
          <t>Operations</t>
        </is>
      </c>
      <c r="D34" s="4" t="n">
        <v>45597</v>
      </c>
      <c r="E34" s="5" t="n">
        <v>8.800000000000001</v>
      </c>
      <c r="F34" s="3" t="n">
        <v>15</v>
      </c>
      <c r="G34" s="3">
        <f>IFERROR(ROUND(F34/E34,2),0)</f>
        <v/>
      </c>
      <c r="H34" s="3">
        <f>IF(E34&gt;8.5,"Overtime",IF(E34&lt;7,"Undertime","Normal"))</f>
        <v/>
      </c>
      <c r="I34" s="3" t="inlineStr">
        <is>
          <t>Project deadline</t>
        </is>
      </c>
    </row>
    <row r="35">
      <c r="A35" s="2" t="inlineStr">
        <is>
          <t>EMP0024</t>
        </is>
      </c>
      <c r="B35" s="3" t="inlineStr">
        <is>
          <t>Nancy Thompson</t>
        </is>
      </c>
      <c r="C35" s="3" t="inlineStr">
        <is>
          <t>Marketing</t>
        </is>
      </c>
      <c r="D35" s="4" t="n">
        <v>45597</v>
      </c>
      <c r="E35" s="6" t="n">
        <v>9.800000000000001</v>
      </c>
      <c r="F35" s="3" t="n">
        <v>13</v>
      </c>
      <c r="G35" s="3">
        <f>IFERROR(ROUND(F35/E35,2),0)</f>
        <v/>
      </c>
      <c r="H35" s="3">
        <f>IF(E35&gt;8.5,"Overtime",IF(E35&lt;7,"Undertime","Normal"))</f>
        <v/>
      </c>
      <c r="I35" s="3" t="inlineStr"/>
    </row>
    <row r="36">
      <c r="A36" s="2" t="inlineStr">
        <is>
          <t>EMP0036</t>
        </is>
      </c>
      <c r="B36" s="3" t="inlineStr">
        <is>
          <t>Sarah Jackson</t>
        </is>
      </c>
      <c r="C36" s="3" t="inlineStr">
        <is>
          <t>Marketing</t>
        </is>
      </c>
      <c r="D36" s="4" t="n">
        <v>45598</v>
      </c>
      <c r="E36" s="3" t="n">
        <v>6.7</v>
      </c>
      <c r="F36" s="3" t="n">
        <v>9</v>
      </c>
      <c r="G36" s="3">
        <f>IFERROR(ROUND(F36/E36,2),0)</f>
        <v/>
      </c>
      <c r="H36" s="3">
        <f>IF(E36&gt;8.5,"Overtime",IF(E36&lt;7,"Undertime","Normal"))</f>
        <v/>
      </c>
      <c r="I36" s="3" t="inlineStr">
        <is>
          <t>High performance</t>
        </is>
      </c>
    </row>
    <row r="37">
      <c r="A37" s="2" t="inlineStr">
        <is>
          <t>EMP0013</t>
        </is>
      </c>
      <c r="B37" s="3" t="inlineStr">
        <is>
          <t>Patricia Martinez</t>
        </is>
      </c>
      <c r="C37" s="3" t="inlineStr">
        <is>
          <t>Sales</t>
        </is>
      </c>
      <c r="D37" s="4" t="n">
        <v>45599</v>
      </c>
      <c r="E37" s="3" t="n">
        <v>6.7</v>
      </c>
      <c r="F37" s="3" t="n">
        <v>3</v>
      </c>
      <c r="G37" s="3">
        <f>IFERROR(ROUND(F37/E37,2),0)</f>
        <v/>
      </c>
      <c r="H37" s="3">
        <f>IF(E37&gt;8.5,"Overtime",IF(E37&lt;7,"Undertime","Normal"))</f>
        <v/>
      </c>
      <c r="I37" s="3" t="inlineStr"/>
    </row>
    <row r="38">
      <c r="A38" s="2" t="inlineStr">
        <is>
          <t>EMP0017</t>
        </is>
      </c>
      <c r="B38" s="3" t="inlineStr">
        <is>
          <t>John Miller</t>
        </is>
      </c>
      <c r="C38" s="3" t="inlineStr">
        <is>
          <t>IT</t>
        </is>
      </c>
      <c r="D38" s="4" t="n">
        <v>45599</v>
      </c>
      <c r="E38" s="6" t="n">
        <v>9.699999999999999</v>
      </c>
      <c r="F38" s="3" t="n">
        <v>10</v>
      </c>
      <c r="G38" s="3">
        <f>IFERROR(ROUND(F38/E38,2),0)</f>
        <v/>
      </c>
      <c r="H38" s="3">
        <f>IF(E38&gt;8.5,"Overtime",IF(E38&lt;7,"Undertime","Normal"))</f>
        <v/>
      </c>
      <c r="I38" s="3" t="inlineStr">
        <is>
          <t>On schedule</t>
        </is>
      </c>
    </row>
    <row r="39">
      <c r="A39" s="2" t="inlineStr">
        <is>
          <t>EMP0007</t>
        </is>
      </c>
      <c r="B39" s="3" t="inlineStr">
        <is>
          <t>Linda Wilson</t>
        </is>
      </c>
      <c r="C39" s="3" t="inlineStr">
        <is>
          <t>Operations</t>
        </is>
      </c>
      <c r="D39" s="4" t="n">
        <v>45600</v>
      </c>
      <c r="E39" s="3" t="n">
        <v>8</v>
      </c>
      <c r="F39" s="3" t="n">
        <v>7</v>
      </c>
      <c r="G39" s="3">
        <f>IFERROR(ROUND(F39/E39,2),0)</f>
        <v/>
      </c>
      <c r="H39" s="3">
        <f>IF(E39&gt;8.5,"Overtime",IF(E39&lt;7,"Undertime","Normal"))</f>
        <v/>
      </c>
      <c r="I39" s="3" t="inlineStr">
        <is>
          <t>Project deadline</t>
        </is>
      </c>
    </row>
    <row r="40">
      <c r="A40" s="2" t="inlineStr">
        <is>
          <t>EMP0020</t>
        </is>
      </c>
      <c r="B40" s="3" t="inlineStr">
        <is>
          <t>John Moore</t>
        </is>
      </c>
      <c r="C40" s="3" t="inlineStr">
        <is>
          <t>Operations</t>
        </is>
      </c>
      <c r="D40" s="4" t="n">
        <v>45602</v>
      </c>
      <c r="E40" s="6" t="n">
        <v>10</v>
      </c>
      <c r="F40" s="3" t="n">
        <v>6</v>
      </c>
      <c r="G40" s="3">
        <f>IFERROR(ROUND(F40/E40,2),0)</f>
        <v/>
      </c>
      <c r="H40" s="3">
        <f>IF(E40&gt;8.5,"Overtime",IF(E40&lt;7,"Undertime","Normal"))</f>
        <v/>
      </c>
      <c r="I40" s="3" t="inlineStr"/>
    </row>
    <row r="41">
      <c r="A41" s="2" t="inlineStr">
        <is>
          <t>EMP0024</t>
        </is>
      </c>
      <c r="B41" s="3" t="inlineStr">
        <is>
          <t>Nancy Thompson</t>
        </is>
      </c>
      <c r="C41" s="3" t="inlineStr">
        <is>
          <t>Marketing</t>
        </is>
      </c>
      <c r="D41" s="4" t="n">
        <v>45602</v>
      </c>
      <c r="E41" s="3" t="n">
        <v>6.5</v>
      </c>
      <c r="F41" s="3" t="n">
        <v>3</v>
      </c>
      <c r="G41" s="3">
        <f>IFERROR(ROUND(F41/E41,2),0)</f>
        <v/>
      </c>
      <c r="H41" s="3">
        <f>IF(E41&gt;8.5,"Overtime",IF(E41&lt;7,"Undertime","Normal"))</f>
        <v/>
      </c>
      <c r="I41" s="3" t="inlineStr">
        <is>
          <t>Project deadline</t>
        </is>
      </c>
    </row>
    <row r="42">
      <c r="A42" s="2" t="inlineStr">
        <is>
          <t>EMP0024</t>
        </is>
      </c>
      <c r="B42" s="3" t="inlineStr">
        <is>
          <t>Nancy Thompson</t>
        </is>
      </c>
      <c r="C42" s="3" t="inlineStr">
        <is>
          <t>Marketing</t>
        </is>
      </c>
      <c r="D42" s="4" t="n">
        <v>45602</v>
      </c>
      <c r="E42" s="3" t="n">
        <v>7.4</v>
      </c>
      <c r="F42" s="3" t="n">
        <v>5</v>
      </c>
      <c r="G42" s="3">
        <f>IFERROR(ROUND(F42/E42,2),0)</f>
        <v/>
      </c>
      <c r="H42" s="3">
        <f>IF(E42&gt;8.5,"Overtime",IF(E42&lt;7,"Undertime","Normal"))</f>
        <v/>
      </c>
      <c r="I42" s="3" t="inlineStr">
        <is>
          <t>Project deadline</t>
        </is>
      </c>
    </row>
    <row r="43">
      <c r="A43" s="2" t="inlineStr">
        <is>
          <t>EMP0027</t>
        </is>
      </c>
      <c r="B43" s="3" t="inlineStr">
        <is>
          <t>Susan Taylor</t>
        </is>
      </c>
      <c r="C43" s="3" t="inlineStr">
        <is>
          <t>Sales</t>
        </is>
      </c>
      <c r="D43" s="4" t="n">
        <v>45604</v>
      </c>
      <c r="E43" s="5" t="n">
        <v>8.300000000000001</v>
      </c>
      <c r="F43" s="3" t="n">
        <v>13</v>
      </c>
      <c r="G43" s="3">
        <f>IFERROR(ROUND(F43/E43,2),0)</f>
        <v/>
      </c>
      <c r="H43" s="3">
        <f>IF(E43&gt;8.5,"Overtime",IF(E43&lt;7,"Undertime","Normal"))</f>
        <v/>
      </c>
      <c r="I43" s="3" t="inlineStr">
        <is>
          <t>On schedule</t>
        </is>
      </c>
    </row>
    <row r="44">
      <c r="A44" s="2" t="inlineStr">
        <is>
          <t>EMP0003</t>
        </is>
      </c>
      <c r="B44" s="3" t="inlineStr">
        <is>
          <t>Robert Jackson</t>
        </is>
      </c>
      <c r="C44" s="3" t="inlineStr">
        <is>
          <t>HR</t>
        </is>
      </c>
      <c r="D44" s="4" t="n">
        <v>45605</v>
      </c>
      <c r="E44" s="5" t="n">
        <v>8.199999999999999</v>
      </c>
      <c r="F44" s="3" t="n">
        <v>14</v>
      </c>
      <c r="G44" s="3">
        <f>IFERROR(ROUND(F44/E44,2),0)</f>
        <v/>
      </c>
      <c r="H44" s="3">
        <f>IF(E44&gt;8.5,"Overtime",IF(E44&lt;7,"Undertime","Normal"))</f>
        <v/>
      </c>
      <c r="I44" s="3" t="inlineStr">
        <is>
          <t>High performance</t>
        </is>
      </c>
    </row>
    <row r="45">
      <c r="A45" s="2" t="inlineStr">
        <is>
          <t>EMP0003</t>
        </is>
      </c>
      <c r="B45" s="3" t="inlineStr">
        <is>
          <t>Robert Jackson</t>
        </is>
      </c>
      <c r="C45" s="3" t="inlineStr">
        <is>
          <t>HR</t>
        </is>
      </c>
      <c r="D45" s="4" t="n">
        <v>45606</v>
      </c>
      <c r="E45" s="6" t="n">
        <v>9.699999999999999</v>
      </c>
      <c r="F45" s="3" t="n">
        <v>5</v>
      </c>
      <c r="G45" s="3">
        <f>IFERROR(ROUND(F45/E45,2),0)</f>
        <v/>
      </c>
      <c r="H45" s="3">
        <f>IF(E45&gt;8.5,"Overtime",IF(E45&lt;7,"Undertime","Normal"))</f>
        <v/>
      </c>
      <c r="I45" s="3" t="inlineStr">
        <is>
          <t>On schedule</t>
        </is>
      </c>
    </row>
    <row r="46">
      <c r="A46" s="2" t="inlineStr">
        <is>
          <t>EMP0021</t>
        </is>
      </c>
      <c r="B46" s="3" t="inlineStr">
        <is>
          <t>Sarah Taylor</t>
        </is>
      </c>
      <c r="C46" s="3" t="inlineStr">
        <is>
          <t>Finance</t>
        </is>
      </c>
      <c r="D46" s="4" t="n">
        <v>45608</v>
      </c>
      <c r="E46" s="5" t="n">
        <v>8.699999999999999</v>
      </c>
      <c r="F46" s="3" t="n">
        <v>6</v>
      </c>
      <c r="G46" s="3">
        <f>IFERROR(ROUND(F46/E46,2),0)</f>
        <v/>
      </c>
      <c r="H46" s="3">
        <f>IF(E46&gt;8.5,"Overtime",IF(E46&lt;7,"Undertime","Normal"))</f>
        <v/>
      </c>
      <c r="I46" s="3" t="inlineStr"/>
    </row>
    <row r="47">
      <c r="A47" s="2" t="inlineStr">
        <is>
          <t>EMP0049</t>
        </is>
      </c>
      <c r="B47" s="3" t="inlineStr">
        <is>
          <t>Christopher Davis</t>
        </is>
      </c>
      <c r="C47" s="3" t="inlineStr">
        <is>
          <t>HR</t>
        </is>
      </c>
      <c r="D47" s="4" t="n">
        <v>45611</v>
      </c>
      <c r="E47" s="3" t="n">
        <v>6.9</v>
      </c>
      <c r="F47" s="3" t="n">
        <v>4</v>
      </c>
      <c r="G47" s="3">
        <f>IFERROR(ROUND(F47/E47,2),0)</f>
        <v/>
      </c>
      <c r="H47" s="3">
        <f>IF(E47&gt;8.5,"Overtime",IF(E47&lt;7,"Undertime","Normal"))</f>
        <v/>
      </c>
      <c r="I47" s="3" t="inlineStr">
        <is>
          <t>Regular duties</t>
        </is>
      </c>
    </row>
    <row r="48">
      <c r="A48" s="2" t="inlineStr">
        <is>
          <t>EMP0014</t>
        </is>
      </c>
      <c r="B48" s="3" t="inlineStr">
        <is>
          <t>James Thomas</t>
        </is>
      </c>
      <c r="C48" s="3" t="inlineStr">
        <is>
          <t>HR</t>
        </is>
      </c>
      <c r="D48" s="4" t="n">
        <v>45612</v>
      </c>
      <c r="E48" s="3" t="n">
        <v>7.1</v>
      </c>
      <c r="F48" s="3" t="n">
        <v>13</v>
      </c>
      <c r="G48" s="3">
        <f>IFERROR(ROUND(F48/E48,2),0)</f>
        <v/>
      </c>
      <c r="H48" s="3">
        <f>IF(E48&gt;8.5,"Overtime",IF(E48&lt;7,"Undertime","Normal"))</f>
        <v/>
      </c>
      <c r="I48" s="3" t="inlineStr">
        <is>
          <t>Project deadline</t>
        </is>
      </c>
    </row>
    <row r="49">
      <c r="A49" s="2" t="inlineStr">
        <is>
          <t>EMP0041</t>
        </is>
      </c>
      <c r="B49" s="3" t="inlineStr">
        <is>
          <t>Jessica Anderson</t>
        </is>
      </c>
      <c r="C49" s="3" t="inlineStr">
        <is>
          <t>Sales</t>
        </is>
      </c>
      <c r="D49" s="4" t="n">
        <v>45613</v>
      </c>
      <c r="E49" s="3" t="n">
        <v>7.2</v>
      </c>
      <c r="F49" s="3" t="n">
        <v>4</v>
      </c>
      <c r="G49" s="3">
        <f>IFERROR(ROUND(F49/E49,2),0)</f>
        <v/>
      </c>
      <c r="H49" s="3">
        <f>IF(E49&gt;8.5,"Overtime",IF(E49&lt;7,"Undertime","Normal"))</f>
        <v/>
      </c>
      <c r="I49" s="3" t="inlineStr">
        <is>
          <t>On schedule</t>
        </is>
      </c>
    </row>
    <row r="50">
      <c r="A50" s="2" t="inlineStr">
        <is>
          <t>EMP0002</t>
        </is>
      </c>
      <c r="B50" s="3" t="inlineStr">
        <is>
          <t>Robert Moore</t>
        </is>
      </c>
      <c r="C50" s="3" t="inlineStr">
        <is>
          <t>Marketing</t>
        </is>
      </c>
      <c r="D50" s="4" t="n">
        <v>45615</v>
      </c>
      <c r="E50" s="6" t="n">
        <v>9.699999999999999</v>
      </c>
      <c r="F50" s="3" t="n">
        <v>8</v>
      </c>
      <c r="G50" s="3">
        <f>IFERROR(ROUND(F50/E50,2),0)</f>
        <v/>
      </c>
      <c r="H50" s="3">
        <f>IF(E50&gt;8.5,"Overtime",IF(E50&lt;7,"Undertime","Normal"))</f>
        <v/>
      </c>
      <c r="I50" s="3" t="inlineStr">
        <is>
          <t>High performance</t>
        </is>
      </c>
    </row>
    <row r="51">
      <c r="A51" s="2" t="inlineStr">
        <is>
          <t>EMP0022</t>
        </is>
      </c>
      <c r="B51" s="3" t="inlineStr">
        <is>
          <t>Susan Anderson</t>
        </is>
      </c>
      <c r="C51" s="3" t="inlineStr">
        <is>
          <t>Marketing</t>
        </is>
      </c>
      <c r="D51" s="4" t="n">
        <v>45615</v>
      </c>
      <c r="E51" s="6" t="n">
        <v>9.199999999999999</v>
      </c>
      <c r="F51" s="3" t="n">
        <v>10</v>
      </c>
      <c r="G51" s="3">
        <f>IFERROR(ROUND(F51/E51,2),0)</f>
        <v/>
      </c>
      <c r="H51" s="3">
        <f>IF(E51&gt;8.5,"Overtime",IF(E51&lt;7,"Undertime","Normal"))</f>
        <v/>
      </c>
      <c r="I51" s="3" t="inlineStr"/>
    </row>
    <row r="52">
      <c r="A52" s="2" t="inlineStr">
        <is>
          <t>EMP0017</t>
        </is>
      </c>
      <c r="B52" s="3" t="inlineStr">
        <is>
          <t>John Miller</t>
        </is>
      </c>
      <c r="C52" s="3" t="inlineStr">
        <is>
          <t>IT</t>
        </is>
      </c>
      <c r="D52" s="4" t="n">
        <v>45616</v>
      </c>
      <c r="E52" s="6" t="n">
        <v>9.199999999999999</v>
      </c>
      <c r="F52" s="3" t="n">
        <v>15</v>
      </c>
      <c r="G52" s="3">
        <f>IFERROR(ROUND(F52/E52,2),0)</f>
        <v/>
      </c>
      <c r="H52" s="3">
        <f>IF(E52&gt;8.5,"Overtime",IF(E52&lt;7,"Undertime","Normal"))</f>
        <v/>
      </c>
      <c r="I52" s="3" t="inlineStr">
        <is>
          <t>Training period</t>
        </is>
      </c>
    </row>
    <row r="53">
      <c r="A53" s="2" t="inlineStr">
        <is>
          <t>EMP0003</t>
        </is>
      </c>
      <c r="B53" s="3" t="inlineStr">
        <is>
          <t>Robert Jackson</t>
        </is>
      </c>
      <c r="C53" s="3" t="inlineStr">
        <is>
          <t>HR</t>
        </is>
      </c>
      <c r="D53" s="4" t="n">
        <v>45617</v>
      </c>
      <c r="E53" s="5" t="n">
        <v>8.6</v>
      </c>
      <c r="F53" s="3" t="n">
        <v>12</v>
      </c>
      <c r="G53" s="3">
        <f>IFERROR(ROUND(F53/E53,2),0)</f>
        <v/>
      </c>
      <c r="H53" s="3">
        <f>IF(E53&gt;8.5,"Overtime",IF(E53&lt;7,"Undertime","Normal"))</f>
        <v/>
      </c>
      <c r="I53" s="3" t="inlineStr">
        <is>
          <t>High performance</t>
        </is>
      </c>
    </row>
    <row r="54">
      <c r="A54" s="2" t="inlineStr">
        <is>
          <t>EMP0038</t>
        </is>
      </c>
      <c r="B54" s="3" t="inlineStr">
        <is>
          <t>Patricia Brown</t>
        </is>
      </c>
      <c r="C54" s="3" t="inlineStr">
        <is>
          <t>Operations</t>
        </is>
      </c>
      <c r="D54" s="4" t="n">
        <v>45617</v>
      </c>
      <c r="E54" s="6" t="n">
        <v>9.699999999999999</v>
      </c>
      <c r="F54" s="3" t="n">
        <v>11</v>
      </c>
      <c r="G54" s="3">
        <f>IFERROR(ROUND(F54/E54,2),0)</f>
        <v/>
      </c>
      <c r="H54" s="3">
        <f>IF(E54&gt;8.5,"Overtime",IF(E54&lt;7,"Undertime","Normal"))</f>
        <v/>
      </c>
      <c r="I54" s="3" t="inlineStr">
        <is>
          <t>On schedule</t>
        </is>
      </c>
    </row>
    <row r="55">
      <c r="A55" s="2" t="inlineStr">
        <is>
          <t>EMP0042</t>
        </is>
      </c>
      <c r="B55" s="3" t="inlineStr">
        <is>
          <t>Robert Wilson</t>
        </is>
      </c>
      <c r="C55" s="3" t="inlineStr">
        <is>
          <t>IT</t>
        </is>
      </c>
      <c r="D55" s="4" t="n">
        <v>45617</v>
      </c>
      <c r="E55" s="6" t="n">
        <v>9.199999999999999</v>
      </c>
      <c r="F55" s="3" t="n">
        <v>10</v>
      </c>
      <c r="G55" s="3">
        <f>IFERROR(ROUND(F55/E55,2),0)</f>
        <v/>
      </c>
      <c r="H55" s="3">
        <f>IF(E55&gt;8.5,"Overtime",IF(E55&lt;7,"Undertime","Normal"))</f>
        <v/>
      </c>
      <c r="I55" s="3" t="inlineStr"/>
    </row>
    <row r="56">
      <c r="A56" s="2" t="inlineStr">
        <is>
          <t>EMP0039</t>
        </is>
      </c>
      <c r="B56" s="3" t="inlineStr">
        <is>
          <t>Michael Martinez</t>
        </is>
      </c>
      <c r="C56" s="3" t="inlineStr">
        <is>
          <t>Marketing</t>
        </is>
      </c>
      <c r="D56" s="4" t="n">
        <v>45618</v>
      </c>
      <c r="E56" s="5" t="n">
        <v>8.6</v>
      </c>
      <c r="F56" s="3" t="n">
        <v>14</v>
      </c>
      <c r="G56" s="3">
        <f>IFERROR(ROUND(F56/E56,2),0)</f>
        <v/>
      </c>
      <c r="H56" s="3">
        <f>IF(E56&gt;8.5,"Overtime",IF(E56&lt;7,"Undertime","Normal"))</f>
        <v/>
      </c>
      <c r="I56" s="3" t="inlineStr">
        <is>
          <t>On schedule</t>
        </is>
      </c>
    </row>
    <row r="57">
      <c r="A57" s="2" t="inlineStr">
        <is>
          <t>EMP0016</t>
        </is>
      </c>
      <c r="B57" s="3" t="inlineStr">
        <is>
          <t>William Taylor</t>
        </is>
      </c>
      <c r="C57" s="3" t="inlineStr">
        <is>
          <t>Finance</t>
        </is>
      </c>
      <c r="D57" s="4" t="n">
        <v>45619</v>
      </c>
      <c r="E57" s="6" t="n">
        <v>9.199999999999999</v>
      </c>
      <c r="F57" s="3" t="n">
        <v>15</v>
      </c>
      <c r="G57" s="3">
        <f>IFERROR(ROUND(F57/E57,2),0)</f>
        <v/>
      </c>
      <c r="H57" s="3">
        <f>IF(E57&gt;8.5,"Overtime",IF(E57&lt;7,"Undertime","Normal"))</f>
        <v/>
      </c>
      <c r="I57" s="3" t="inlineStr">
        <is>
          <t>Training period</t>
        </is>
      </c>
    </row>
    <row r="58">
      <c r="A58" s="2" t="inlineStr">
        <is>
          <t>EMP0018</t>
        </is>
      </c>
      <c r="B58" s="3" t="inlineStr">
        <is>
          <t>Linda Martinez</t>
        </is>
      </c>
      <c r="C58" s="3" t="inlineStr">
        <is>
          <t>Marketing</t>
        </is>
      </c>
      <c r="D58" s="4" t="n">
        <v>45619</v>
      </c>
      <c r="E58" s="3" t="n">
        <v>7.9</v>
      </c>
      <c r="F58" s="3" t="n">
        <v>12</v>
      </c>
      <c r="G58" s="3">
        <f>IFERROR(ROUND(F58/E58,2),0)</f>
        <v/>
      </c>
      <c r="H58" s="3">
        <f>IF(E58&gt;8.5,"Overtime",IF(E58&lt;7,"Undertime","Normal"))</f>
        <v/>
      </c>
      <c r="I58" s="3" t="inlineStr"/>
    </row>
    <row r="59">
      <c r="A59" s="2" t="inlineStr">
        <is>
          <t>EMP0009</t>
        </is>
      </c>
      <c r="B59" s="3" t="inlineStr">
        <is>
          <t>Charles Brown</t>
        </is>
      </c>
      <c r="C59" s="3" t="inlineStr">
        <is>
          <t>IT</t>
        </is>
      </c>
      <c r="D59" s="4" t="n">
        <v>45621</v>
      </c>
      <c r="E59" s="6" t="n">
        <v>9.300000000000001</v>
      </c>
      <c r="F59" s="3" t="n">
        <v>9</v>
      </c>
      <c r="G59" s="3">
        <f>IFERROR(ROUND(F59/E59,2),0)</f>
        <v/>
      </c>
      <c r="H59" s="3">
        <f>IF(E59&gt;8.5,"Overtime",IF(E59&lt;7,"Undertime","Normal"))</f>
        <v/>
      </c>
      <c r="I59" s="3" t="inlineStr">
        <is>
          <t>Project deadline</t>
        </is>
      </c>
    </row>
    <row r="60">
      <c r="A60" s="2" t="inlineStr">
        <is>
          <t>EMP0005</t>
        </is>
      </c>
      <c r="B60" s="3" t="inlineStr">
        <is>
          <t>James Brown</t>
        </is>
      </c>
      <c r="C60" s="3" t="inlineStr">
        <is>
          <t>Marketing</t>
        </is>
      </c>
      <c r="D60" s="4" t="n">
        <v>45623</v>
      </c>
      <c r="E60" s="3" t="n">
        <v>7.8</v>
      </c>
      <c r="F60" s="3" t="n">
        <v>13</v>
      </c>
      <c r="G60" s="3">
        <f>IFERROR(ROUND(F60/E60,2),0)</f>
        <v/>
      </c>
      <c r="H60" s="3">
        <f>IF(E60&gt;8.5,"Overtime",IF(E60&lt;7,"Undertime","Normal"))</f>
        <v/>
      </c>
      <c r="I60" s="3" t="inlineStr"/>
    </row>
    <row r="61">
      <c r="A61" s="2" t="inlineStr">
        <is>
          <t>EMP0029</t>
        </is>
      </c>
      <c r="B61" s="3" t="inlineStr">
        <is>
          <t>David Harris</t>
        </is>
      </c>
      <c r="C61" s="3" t="inlineStr">
        <is>
          <t>HR</t>
        </is>
      </c>
      <c r="D61" s="4" t="n">
        <v>45623</v>
      </c>
      <c r="E61" s="5" t="n">
        <v>8.5</v>
      </c>
      <c r="F61" s="3" t="n">
        <v>5</v>
      </c>
      <c r="G61" s="3">
        <f>IFERROR(ROUND(F61/E61,2),0)</f>
        <v/>
      </c>
      <c r="H61" s="3">
        <f>IF(E61&gt;8.5,"Overtime",IF(E61&lt;7,"Undertime","Normal"))</f>
        <v/>
      </c>
      <c r="I61" s="3" t="inlineStr">
        <is>
          <t>On schedule</t>
        </is>
      </c>
    </row>
    <row r="62">
      <c r="A62" s="2" t="inlineStr">
        <is>
          <t>EMP0035</t>
        </is>
      </c>
      <c r="B62" s="3" t="inlineStr">
        <is>
          <t>Thomas Martin</t>
        </is>
      </c>
      <c r="C62" s="3" t="inlineStr">
        <is>
          <t>Marketing</t>
        </is>
      </c>
      <c r="D62" s="4" t="n">
        <v>45623</v>
      </c>
      <c r="E62" s="5" t="n">
        <v>8.300000000000001</v>
      </c>
      <c r="F62" s="3" t="n">
        <v>13</v>
      </c>
      <c r="G62" s="3">
        <f>IFERROR(ROUND(F62/E62,2),0)</f>
        <v/>
      </c>
      <c r="H62" s="3">
        <f>IF(E62&gt;8.5,"Overtime",IF(E62&lt;7,"Undertime","Normal"))</f>
        <v/>
      </c>
      <c r="I62" s="3" t="inlineStr">
        <is>
          <t>Training period</t>
        </is>
      </c>
    </row>
    <row r="63">
      <c r="A63" s="2" t="inlineStr">
        <is>
          <t>EMP0033</t>
        </is>
      </c>
      <c r="B63" s="3" t="inlineStr">
        <is>
          <t>Sarah Thomas</t>
        </is>
      </c>
      <c r="C63" s="3" t="inlineStr">
        <is>
          <t>Finance</t>
        </is>
      </c>
      <c r="D63" s="4" t="n">
        <v>45624</v>
      </c>
      <c r="E63" s="3" t="n">
        <v>7</v>
      </c>
      <c r="F63" s="3" t="n">
        <v>5</v>
      </c>
      <c r="G63" s="3">
        <f>IFERROR(ROUND(F63/E63,2),0)</f>
        <v/>
      </c>
      <c r="H63" s="3">
        <f>IF(E63&gt;8.5,"Overtime",IF(E63&lt;7,"Undertime","Normal"))</f>
        <v/>
      </c>
      <c r="I63" s="3" t="inlineStr">
        <is>
          <t>High performance</t>
        </is>
      </c>
    </row>
    <row r="64">
      <c r="A64" s="2" t="inlineStr">
        <is>
          <t>EMP0016</t>
        </is>
      </c>
      <c r="B64" s="3" t="inlineStr">
        <is>
          <t>William Taylor</t>
        </is>
      </c>
      <c r="C64" s="3" t="inlineStr">
        <is>
          <t>Finance</t>
        </is>
      </c>
      <c r="D64" s="4" t="n">
        <v>45626</v>
      </c>
      <c r="E64" s="5" t="n">
        <v>8.6</v>
      </c>
      <c r="F64" s="3" t="n">
        <v>10</v>
      </c>
      <c r="G64" s="3">
        <f>IFERROR(ROUND(F64/E64,2),0)</f>
        <v/>
      </c>
      <c r="H64" s="3">
        <f>IF(E64&gt;8.5,"Overtime",IF(E64&lt;7,"Undertime","Normal"))</f>
        <v/>
      </c>
      <c r="I64" s="3" t="inlineStr">
        <is>
          <t>On schedule</t>
        </is>
      </c>
    </row>
    <row r="65">
      <c r="A65" s="2" t="inlineStr">
        <is>
          <t>EMP0031</t>
        </is>
      </c>
      <c r="B65" s="3" t="inlineStr">
        <is>
          <t>Jennifer Garcia</t>
        </is>
      </c>
      <c r="C65" s="3" t="inlineStr">
        <is>
          <t>Finance</t>
        </is>
      </c>
      <c r="D65" s="4" t="n">
        <v>45626</v>
      </c>
      <c r="E65" s="5" t="n">
        <v>8.199999999999999</v>
      </c>
      <c r="F65" s="3" t="n">
        <v>14</v>
      </c>
      <c r="G65" s="3">
        <f>IFERROR(ROUND(F65/E65,2),0)</f>
        <v/>
      </c>
      <c r="H65" s="3">
        <f>IF(E65&gt;8.5,"Overtime",IF(E65&lt;7,"Undertime","Normal"))</f>
        <v/>
      </c>
      <c r="I65" s="3" t="inlineStr">
        <is>
          <t>Project deadline</t>
        </is>
      </c>
    </row>
    <row r="66">
      <c r="A66" s="2" t="inlineStr">
        <is>
          <t>EMP0049</t>
        </is>
      </c>
      <c r="B66" s="3" t="inlineStr">
        <is>
          <t>Christopher Davis</t>
        </is>
      </c>
      <c r="C66" s="3" t="inlineStr">
        <is>
          <t>HR</t>
        </is>
      </c>
      <c r="D66" s="4" t="n">
        <v>45626</v>
      </c>
      <c r="E66" s="6" t="n">
        <v>9.699999999999999</v>
      </c>
      <c r="F66" s="3" t="n">
        <v>3</v>
      </c>
      <c r="G66" s="3">
        <f>IFERROR(ROUND(F66/E66,2),0)</f>
        <v/>
      </c>
      <c r="H66" s="3">
        <f>IF(E66&gt;8.5,"Overtime",IF(E66&lt;7,"Undertime","Normal"))</f>
        <v/>
      </c>
      <c r="I66" s="3" t="inlineStr">
        <is>
          <t>Project deadline</t>
        </is>
      </c>
    </row>
    <row r="67">
      <c r="A67" s="2" t="inlineStr">
        <is>
          <t>EMP0018</t>
        </is>
      </c>
      <c r="B67" s="3" t="inlineStr">
        <is>
          <t>Linda Martinez</t>
        </is>
      </c>
      <c r="C67" s="3" t="inlineStr">
        <is>
          <t>Marketing</t>
        </is>
      </c>
      <c r="D67" s="4" t="n">
        <v>45627</v>
      </c>
      <c r="E67" s="6" t="n">
        <v>9.6</v>
      </c>
      <c r="F67" s="3" t="n">
        <v>10</v>
      </c>
      <c r="G67" s="3">
        <f>IFERROR(ROUND(F67/E67,2),0)</f>
        <v/>
      </c>
      <c r="H67" s="3">
        <f>IF(E67&gt;8.5,"Overtime",IF(E67&lt;7,"Undertime","Normal"))</f>
        <v/>
      </c>
      <c r="I67" s="3" t="inlineStr">
        <is>
          <t>On schedule</t>
        </is>
      </c>
    </row>
    <row r="68">
      <c r="A68" s="2" t="inlineStr">
        <is>
          <t>EMP0025</t>
        </is>
      </c>
      <c r="B68" s="3" t="inlineStr">
        <is>
          <t>William Garcia</t>
        </is>
      </c>
      <c r="C68" s="3" t="inlineStr">
        <is>
          <t>Sales</t>
        </is>
      </c>
      <c r="D68" s="4" t="n">
        <v>45628</v>
      </c>
      <c r="E68" s="6" t="n">
        <v>9.6</v>
      </c>
      <c r="F68" s="3" t="n">
        <v>3</v>
      </c>
      <c r="G68" s="3">
        <f>IFERROR(ROUND(F68/E68,2),0)</f>
        <v/>
      </c>
      <c r="H68" s="3">
        <f>IF(E68&gt;8.5,"Overtime",IF(E68&lt;7,"Undertime","Normal"))</f>
        <v/>
      </c>
      <c r="I68" s="3" t="inlineStr">
        <is>
          <t>Project deadline</t>
        </is>
      </c>
    </row>
    <row r="69">
      <c r="A69" s="2" t="inlineStr">
        <is>
          <t>EMP0029</t>
        </is>
      </c>
      <c r="B69" s="3" t="inlineStr">
        <is>
          <t>David Harris</t>
        </is>
      </c>
      <c r="C69" s="3" t="inlineStr">
        <is>
          <t>HR</t>
        </is>
      </c>
      <c r="D69" s="4" t="n">
        <v>45630</v>
      </c>
      <c r="E69" s="5" t="n">
        <v>8.4</v>
      </c>
      <c r="F69" s="3" t="n">
        <v>4</v>
      </c>
      <c r="G69" s="3">
        <f>IFERROR(ROUND(F69/E69,2),0)</f>
        <v/>
      </c>
      <c r="H69" s="3">
        <f>IF(E69&gt;8.5,"Overtime",IF(E69&lt;7,"Undertime","Normal"))</f>
        <v/>
      </c>
      <c r="I69" s="3" t="inlineStr">
        <is>
          <t>On schedule</t>
        </is>
      </c>
    </row>
    <row r="70">
      <c r="A70" s="2" t="inlineStr">
        <is>
          <t>EMP0025</t>
        </is>
      </c>
      <c r="B70" s="3" t="inlineStr">
        <is>
          <t>William Garcia</t>
        </is>
      </c>
      <c r="C70" s="3" t="inlineStr">
        <is>
          <t>Sales</t>
        </is>
      </c>
      <c r="D70" s="4" t="n">
        <v>45631</v>
      </c>
      <c r="E70" s="5" t="n">
        <v>8.5</v>
      </c>
      <c r="F70" s="3" t="n">
        <v>13</v>
      </c>
      <c r="G70" s="3">
        <f>IFERROR(ROUND(F70/E70,2),0)</f>
        <v/>
      </c>
      <c r="H70" s="3">
        <f>IF(E70&gt;8.5,"Overtime",IF(E70&lt;7,"Undertime","Normal"))</f>
        <v/>
      </c>
      <c r="I70" s="3" t="inlineStr">
        <is>
          <t>On schedule</t>
        </is>
      </c>
    </row>
    <row r="71">
      <c r="A71" s="2" t="inlineStr">
        <is>
          <t>EMP0011</t>
        </is>
      </c>
      <c r="B71" s="3" t="inlineStr">
        <is>
          <t>Karen Davis</t>
        </is>
      </c>
      <c r="C71" s="3" t="inlineStr">
        <is>
          <t>Operations</t>
        </is>
      </c>
      <c r="D71" s="4" t="n">
        <v>45632</v>
      </c>
      <c r="E71" s="5" t="n">
        <v>8.1</v>
      </c>
      <c r="F71" s="3" t="n">
        <v>4</v>
      </c>
      <c r="G71" s="3">
        <f>IFERROR(ROUND(F71/E71,2),0)</f>
        <v/>
      </c>
      <c r="H71" s="3">
        <f>IF(E71&gt;8.5,"Overtime",IF(E71&lt;7,"Undertime","Normal"))</f>
        <v/>
      </c>
      <c r="I71" s="3" t="inlineStr">
        <is>
          <t>Training period</t>
        </is>
      </c>
    </row>
    <row r="72">
      <c r="A72" s="2" t="inlineStr">
        <is>
          <t>EMP0034</t>
        </is>
      </c>
      <c r="B72" s="3" t="inlineStr">
        <is>
          <t>John Miller</t>
        </is>
      </c>
      <c r="C72" s="3" t="inlineStr">
        <is>
          <t>Marketing</t>
        </is>
      </c>
      <c r="D72" s="4" t="n">
        <v>45633</v>
      </c>
      <c r="E72" s="6" t="n">
        <v>9.5</v>
      </c>
      <c r="F72" s="3" t="n">
        <v>4</v>
      </c>
      <c r="G72" s="3">
        <f>IFERROR(ROUND(F72/E72,2),0)</f>
        <v/>
      </c>
      <c r="H72" s="3">
        <f>IF(E72&gt;8.5,"Overtime",IF(E72&lt;7,"Undertime","Normal"))</f>
        <v/>
      </c>
      <c r="I72" s="3" t="inlineStr">
        <is>
          <t>On schedule</t>
        </is>
      </c>
    </row>
    <row r="73">
      <c r="A73" s="2" t="inlineStr">
        <is>
          <t>EMP0035</t>
        </is>
      </c>
      <c r="B73" s="3" t="inlineStr">
        <is>
          <t>Thomas Martin</t>
        </is>
      </c>
      <c r="C73" s="3" t="inlineStr">
        <is>
          <t>Marketing</t>
        </is>
      </c>
      <c r="D73" s="4" t="n">
        <v>45633</v>
      </c>
      <c r="E73" s="3" t="n">
        <v>7.2</v>
      </c>
      <c r="F73" s="3" t="n">
        <v>9</v>
      </c>
      <c r="G73" s="3">
        <f>IFERROR(ROUND(F73/E73,2),0)</f>
        <v/>
      </c>
      <c r="H73" s="3">
        <f>IF(E73&gt;8.5,"Overtime",IF(E73&lt;7,"Undertime","Normal"))</f>
        <v/>
      </c>
      <c r="I73" s="3" t="inlineStr">
        <is>
          <t>Project deadline</t>
        </is>
      </c>
    </row>
    <row r="74">
      <c r="A74" s="2" t="inlineStr">
        <is>
          <t>EMP0029</t>
        </is>
      </c>
      <c r="B74" s="3" t="inlineStr">
        <is>
          <t>David Harris</t>
        </is>
      </c>
      <c r="C74" s="3" t="inlineStr">
        <is>
          <t>HR</t>
        </is>
      </c>
      <c r="D74" s="4" t="n">
        <v>45634</v>
      </c>
      <c r="E74" s="5" t="n">
        <v>8.6</v>
      </c>
      <c r="F74" s="3" t="n">
        <v>12</v>
      </c>
      <c r="G74" s="3">
        <f>IFERROR(ROUND(F74/E74,2),0)</f>
        <v/>
      </c>
      <c r="H74" s="3">
        <f>IF(E74&gt;8.5,"Overtime",IF(E74&lt;7,"Undertime","Normal"))</f>
        <v/>
      </c>
      <c r="I74" s="3" t="inlineStr">
        <is>
          <t>Regular duties</t>
        </is>
      </c>
    </row>
    <row r="75">
      <c r="A75" s="2" t="inlineStr">
        <is>
          <t>EMP0004</t>
        </is>
      </c>
      <c r="B75" s="3" t="inlineStr">
        <is>
          <t>Betty Brown</t>
        </is>
      </c>
      <c r="C75" s="3" t="inlineStr">
        <is>
          <t>HR</t>
        </is>
      </c>
      <c r="D75" s="4" t="n">
        <v>45635</v>
      </c>
      <c r="E75" s="5" t="n">
        <v>8.9</v>
      </c>
      <c r="F75" s="3" t="n">
        <v>7</v>
      </c>
      <c r="G75" s="3">
        <f>IFERROR(ROUND(F75/E75,2),0)</f>
        <v/>
      </c>
      <c r="H75" s="3">
        <f>IF(E75&gt;8.5,"Overtime",IF(E75&lt;7,"Undertime","Normal"))</f>
        <v/>
      </c>
      <c r="I75" s="3" t="inlineStr">
        <is>
          <t>High performance</t>
        </is>
      </c>
    </row>
    <row r="76">
      <c r="A76" s="2" t="inlineStr">
        <is>
          <t>EMP0010</t>
        </is>
      </c>
      <c r="B76" s="3" t="inlineStr">
        <is>
          <t>Daniel Thomas</t>
        </is>
      </c>
      <c r="C76" s="3" t="inlineStr">
        <is>
          <t>Finance</t>
        </is>
      </c>
      <c r="D76" s="4" t="n">
        <v>45635</v>
      </c>
      <c r="E76" s="6" t="n">
        <v>9.5</v>
      </c>
      <c r="F76" s="3" t="n">
        <v>11</v>
      </c>
      <c r="G76" s="3">
        <f>IFERROR(ROUND(F76/E76,2),0)</f>
        <v/>
      </c>
      <c r="H76" s="3">
        <f>IF(E76&gt;8.5,"Overtime",IF(E76&lt;7,"Undertime","Normal"))</f>
        <v/>
      </c>
      <c r="I76" s="3" t="inlineStr">
        <is>
          <t>Regular duties</t>
        </is>
      </c>
    </row>
    <row r="77">
      <c r="A77" s="2" t="inlineStr">
        <is>
          <t>EMP0028</t>
        </is>
      </c>
      <c r="B77" s="3" t="inlineStr">
        <is>
          <t>Robert Garcia</t>
        </is>
      </c>
      <c r="C77" s="3" t="inlineStr">
        <is>
          <t>Finance</t>
        </is>
      </c>
      <c r="D77" s="4" t="n">
        <v>45635</v>
      </c>
      <c r="E77" s="3" t="n">
        <v>7.2</v>
      </c>
      <c r="F77" s="3" t="n">
        <v>5</v>
      </c>
      <c r="G77" s="3">
        <f>IFERROR(ROUND(F77/E77,2),0)</f>
        <v/>
      </c>
      <c r="H77" s="3">
        <f>IF(E77&gt;8.5,"Overtime",IF(E77&lt;7,"Undertime","Normal"))</f>
        <v/>
      </c>
      <c r="I77" s="3" t="inlineStr">
        <is>
          <t>High performance</t>
        </is>
      </c>
    </row>
    <row r="78">
      <c r="A78" s="2" t="inlineStr">
        <is>
          <t>EMP0023</t>
        </is>
      </c>
      <c r="B78" s="3" t="inlineStr">
        <is>
          <t>Betty Rodriguez</t>
        </is>
      </c>
      <c r="C78" s="3" t="inlineStr">
        <is>
          <t>Finance</t>
        </is>
      </c>
      <c r="D78" s="4" t="n">
        <v>45637</v>
      </c>
      <c r="E78" s="5" t="n">
        <v>8.1</v>
      </c>
      <c r="F78" s="3" t="n">
        <v>5</v>
      </c>
      <c r="G78" s="3">
        <f>IFERROR(ROUND(F78/E78,2),0)</f>
        <v/>
      </c>
      <c r="H78" s="3">
        <f>IF(E78&gt;8.5,"Overtime",IF(E78&lt;7,"Undertime","Normal"))</f>
        <v/>
      </c>
      <c r="I78" s="3" t="inlineStr">
        <is>
          <t>High performance</t>
        </is>
      </c>
    </row>
    <row r="79">
      <c r="A79" s="2" t="inlineStr">
        <is>
          <t>EMP0010</t>
        </is>
      </c>
      <c r="B79" s="3" t="inlineStr">
        <is>
          <t>Daniel Thomas</t>
        </is>
      </c>
      <c r="C79" s="3" t="inlineStr">
        <is>
          <t>Finance</t>
        </is>
      </c>
      <c r="D79" s="4" t="n">
        <v>45639</v>
      </c>
      <c r="E79" s="3" t="n">
        <v>6.6</v>
      </c>
      <c r="F79" s="3" t="n">
        <v>7</v>
      </c>
      <c r="G79" s="3">
        <f>IFERROR(ROUND(F79/E79,2),0)</f>
        <v/>
      </c>
      <c r="H79" s="3">
        <f>IF(E79&gt;8.5,"Overtime",IF(E79&lt;7,"Undertime","Normal"))</f>
        <v/>
      </c>
      <c r="I79" s="3" t="inlineStr">
        <is>
          <t>Regular duties</t>
        </is>
      </c>
    </row>
    <row r="80">
      <c r="A80" s="2" t="inlineStr">
        <is>
          <t>EMP0030</t>
        </is>
      </c>
      <c r="B80" s="3" t="inlineStr">
        <is>
          <t>Thomas Martin</t>
        </is>
      </c>
      <c r="C80" s="3" t="inlineStr">
        <is>
          <t>Finance</t>
        </is>
      </c>
      <c r="D80" s="4" t="n">
        <v>45639</v>
      </c>
      <c r="E80" s="3" t="n">
        <v>7.2</v>
      </c>
      <c r="F80" s="3" t="n">
        <v>13</v>
      </c>
      <c r="G80" s="3">
        <f>IFERROR(ROUND(F80/E80,2),0)</f>
        <v/>
      </c>
      <c r="H80" s="3">
        <f>IF(E80&gt;8.5,"Overtime",IF(E80&lt;7,"Undertime","Normal"))</f>
        <v/>
      </c>
      <c r="I80" s="3" t="inlineStr">
        <is>
          <t>Training period</t>
        </is>
      </c>
    </row>
    <row r="81">
      <c r="A81" s="2" t="inlineStr">
        <is>
          <t>EMP0044</t>
        </is>
      </c>
      <c r="B81" s="3" t="inlineStr">
        <is>
          <t>David Rodriguez</t>
        </is>
      </c>
      <c r="C81" s="3" t="inlineStr">
        <is>
          <t>Sales</t>
        </is>
      </c>
      <c r="D81" s="4" t="n">
        <v>45639</v>
      </c>
      <c r="E81" s="5" t="n">
        <v>8.5</v>
      </c>
      <c r="F81" s="3" t="n">
        <v>12</v>
      </c>
      <c r="G81" s="3">
        <f>IFERROR(ROUND(F81/E81,2),0)</f>
        <v/>
      </c>
      <c r="H81" s="3">
        <f>IF(E81&gt;8.5,"Overtime",IF(E81&lt;7,"Undertime","Normal"))</f>
        <v/>
      </c>
      <c r="I81" s="3" t="inlineStr">
        <is>
          <t>Project deadline</t>
        </is>
      </c>
    </row>
    <row r="82">
      <c r="A82" s="2" t="inlineStr">
        <is>
          <t>EMP0020</t>
        </is>
      </c>
      <c r="B82" s="3" t="inlineStr">
        <is>
          <t>John Moore</t>
        </is>
      </c>
      <c r="C82" s="3" t="inlineStr">
        <is>
          <t>Operations</t>
        </is>
      </c>
      <c r="D82" s="4" t="n">
        <v>45641</v>
      </c>
      <c r="E82" s="5" t="n">
        <v>8.800000000000001</v>
      </c>
      <c r="F82" s="3" t="n">
        <v>14</v>
      </c>
      <c r="G82" s="3">
        <f>IFERROR(ROUND(F82/E82,2),0)</f>
        <v/>
      </c>
      <c r="H82" s="3">
        <f>IF(E82&gt;8.5,"Overtime",IF(E82&lt;7,"Undertime","Normal"))</f>
        <v/>
      </c>
      <c r="I82" s="3" t="inlineStr">
        <is>
          <t>On schedule</t>
        </is>
      </c>
    </row>
    <row r="83">
      <c r="A83" s="2" t="inlineStr">
        <is>
          <t>EMP0030</t>
        </is>
      </c>
      <c r="B83" s="3" t="inlineStr">
        <is>
          <t>Thomas Martin</t>
        </is>
      </c>
      <c r="C83" s="3" t="inlineStr">
        <is>
          <t>Finance</t>
        </is>
      </c>
      <c r="D83" s="4" t="n">
        <v>45641</v>
      </c>
      <c r="E83" s="3" t="n">
        <v>7.6</v>
      </c>
      <c r="F83" s="3" t="n">
        <v>13</v>
      </c>
      <c r="G83" s="3">
        <f>IFERROR(ROUND(F83/E83,2),0)</f>
        <v/>
      </c>
      <c r="H83" s="3">
        <f>IF(E83&gt;8.5,"Overtime",IF(E83&lt;7,"Undertime","Normal"))</f>
        <v/>
      </c>
      <c r="I83" s="3" t="inlineStr">
        <is>
          <t>Regular duties</t>
        </is>
      </c>
    </row>
    <row r="84">
      <c r="A84" s="2" t="inlineStr">
        <is>
          <t>EMP0041</t>
        </is>
      </c>
      <c r="B84" s="3" t="inlineStr">
        <is>
          <t>Jessica Anderson</t>
        </is>
      </c>
      <c r="C84" s="3" t="inlineStr">
        <is>
          <t>Sales</t>
        </is>
      </c>
      <c r="D84" s="4" t="n">
        <v>45641</v>
      </c>
      <c r="E84" s="5" t="n">
        <v>8.6</v>
      </c>
      <c r="F84" s="3" t="n">
        <v>8</v>
      </c>
      <c r="G84" s="3">
        <f>IFERROR(ROUND(F84/E84,2),0)</f>
        <v/>
      </c>
      <c r="H84" s="3">
        <f>IF(E84&gt;8.5,"Overtime",IF(E84&lt;7,"Undertime","Normal"))</f>
        <v/>
      </c>
      <c r="I84" s="3" t="inlineStr">
        <is>
          <t>Project deadline</t>
        </is>
      </c>
    </row>
    <row r="85">
      <c r="A85" s="2" t="inlineStr">
        <is>
          <t>EMP0033</t>
        </is>
      </c>
      <c r="B85" s="3" t="inlineStr">
        <is>
          <t>Sarah Thomas</t>
        </is>
      </c>
      <c r="C85" s="3" t="inlineStr">
        <is>
          <t>Finance</t>
        </is>
      </c>
      <c r="D85" s="4" t="n">
        <v>45642</v>
      </c>
      <c r="E85" s="6" t="n">
        <v>9.699999999999999</v>
      </c>
      <c r="F85" s="3" t="n">
        <v>14</v>
      </c>
      <c r="G85" s="3">
        <f>IFERROR(ROUND(F85/E85,2),0)</f>
        <v/>
      </c>
      <c r="H85" s="3">
        <f>IF(E85&gt;8.5,"Overtime",IF(E85&lt;7,"Undertime","Normal"))</f>
        <v/>
      </c>
      <c r="I85" s="3" t="inlineStr">
        <is>
          <t>High performance</t>
        </is>
      </c>
    </row>
    <row r="86">
      <c r="A86" s="2" t="inlineStr">
        <is>
          <t>EMP0044</t>
        </is>
      </c>
      <c r="B86" s="3" t="inlineStr">
        <is>
          <t>David Rodriguez</t>
        </is>
      </c>
      <c r="C86" s="3" t="inlineStr">
        <is>
          <t>Sales</t>
        </is>
      </c>
      <c r="D86" s="4" t="n">
        <v>45642</v>
      </c>
      <c r="E86" s="6" t="n">
        <v>10</v>
      </c>
      <c r="F86" s="3" t="n">
        <v>6</v>
      </c>
      <c r="G86" s="3">
        <f>IFERROR(ROUND(F86/E86,2),0)</f>
        <v/>
      </c>
      <c r="H86" s="3">
        <f>IF(E86&gt;8.5,"Overtime",IF(E86&lt;7,"Undertime","Normal"))</f>
        <v/>
      </c>
      <c r="I86" s="3" t="inlineStr">
        <is>
          <t>High performance</t>
        </is>
      </c>
    </row>
    <row r="87">
      <c r="A87" s="2" t="inlineStr">
        <is>
          <t>EMP0050</t>
        </is>
      </c>
      <c r="B87" s="3" t="inlineStr">
        <is>
          <t>David Miller</t>
        </is>
      </c>
      <c r="C87" s="3" t="inlineStr">
        <is>
          <t>HR</t>
        </is>
      </c>
      <c r="D87" s="4" t="n">
        <v>45642</v>
      </c>
      <c r="E87" s="3" t="n">
        <v>6.7</v>
      </c>
      <c r="F87" s="3" t="n">
        <v>11</v>
      </c>
      <c r="G87" s="3">
        <f>IFERROR(ROUND(F87/E87,2),0)</f>
        <v/>
      </c>
      <c r="H87" s="3">
        <f>IF(E87&gt;8.5,"Overtime",IF(E87&lt;7,"Undertime","Normal"))</f>
        <v/>
      </c>
      <c r="I87" s="3" t="inlineStr">
        <is>
          <t>Training period</t>
        </is>
      </c>
    </row>
    <row r="88">
      <c r="A88" s="2" t="inlineStr">
        <is>
          <t>EMP0011</t>
        </is>
      </c>
      <c r="B88" s="3" t="inlineStr">
        <is>
          <t>Karen Davis</t>
        </is>
      </c>
      <c r="C88" s="3" t="inlineStr">
        <is>
          <t>Operations</t>
        </is>
      </c>
      <c r="D88" s="4" t="n">
        <v>45643</v>
      </c>
      <c r="E88" s="6" t="n">
        <v>9.300000000000001</v>
      </c>
      <c r="F88" s="3" t="n">
        <v>12</v>
      </c>
      <c r="G88" s="3">
        <f>IFERROR(ROUND(F88/E88,2),0)</f>
        <v/>
      </c>
      <c r="H88" s="3">
        <f>IF(E88&gt;8.5,"Overtime",IF(E88&lt;7,"Undertime","Normal"))</f>
        <v/>
      </c>
      <c r="I88" s="3" t="inlineStr">
        <is>
          <t>On schedule</t>
        </is>
      </c>
    </row>
    <row r="89">
      <c r="A89" s="2" t="inlineStr">
        <is>
          <t>EMP0047</t>
        </is>
      </c>
      <c r="B89" s="3" t="inlineStr">
        <is>
          <t>Thomas Martin</t>
        </is>
      </c>
      <c r="C89" s="3" t="inlineStr">
        <is>
          <t>IT</t>
        </is>
      </c>
      <c r="D89" s="4" t="n">
        <v>45643</v>
      </c>
      <c r="E89" s="6" t="n">
        <v>9.9</v>
      </c>
      <c r="F89" s="3" t="n">
        <v>10</v>
      </c>
      <c r="G89" s="3">
        <f>IFERROR(ROUND(F89/E89,2),0)</f>
        <v/>
      </c>
      <c r="H89" s="3">
        <f>IF(E89&gt;8.5,"Overtime",IF(E89&lt;7,"Undertime","Normal"))</f>
        <v/>
      </c>
      <c r="I89" s="3" t="inlineStr"/>
    </row>
    <row r="90">
      <c r="A90" s="2" t="inlineStr">
        <is>
          <t>EMP0047</t>
        </is>
      </c>
      <c r="B90" s="3" t="inlineStr">
        <is>
          <t>Thomas Martin</t>
        </is>
      </c>
      <c r="C90" s="3" t="inlineStr">
        <is>
          <t>IT</t>
        </is>
      </c>
      <c r="D90" s="4" t="n">
        <v>45643</v>
      </c>
      <c r="E90" s="6" t="n">
        <v>9.4</v>
      </c>
      <c r="F90" s="3" t="n">
        <v>6</v>
      </c>
      <c r="G90" s="3">
        <f>IFERROR(ROUND(F90/E90,2),0)</f>
        <v/>
      </c>
      <c r="H90" s="3">
        <f>IF(E90&gt;8.5,"Overtime",IF(E90&lt;7,"Undertime","Normal"))</f>
        <v/>
      </c>
      <c r="I90" s="3" t="inlineStr"/>
    </row>
    <row r="91">
      <c r="A91" s="2" t="inlineStr">
        <is>
          <t>EMP0032</t>
        </is>
      </c>
      <c r="B91" s="3" t="inlineStr">
        <is>
          <t>Daniel Martin</t>
        </is>
      </c>
      <c r="C91" s="3" t="inlineStr">
        <is>
          <t>Sales</t>
        </is>
      </c>
      <c r="D91" s="4" t="n">
        <v>45644</v>
      </c>
      <c r="E91" s="6" t="n">
        <v>9.1</v>
      </c>
      <c r="F91" s="3" t="n">
        <v>9</v>
      </c>
      <c r="G91" s="3">
        <f>IFERROR(ROUND(F91/E91,2),0)</f>
        <v/>
      </c>
      <c r="H91" s="3">
        <f>IF(E91&gt;8.5,"Overtime",IF(E91&lt;7,"Undertime","Normal"))</f>
        <v/>
      </c>
      <c r="I91" s="3" t="inlineStr">
        <is>
          <t>High performance</t>
        </is>
      </c>
    </row>
    <row r="92">
      <c r="A92" s="2" t="inlineStr">
        <is>
          <t>EMP0045</t>
        </is>
      </c>
      <c r="B92" s="3" t="inlineStr">
        <is>
          <t>Michael Thompson</t>
        </is>
      </c>
      <c r="C92" s="3" t="inlineStr">
        <is>
          <t>Sales</t>
        </is>
      </c>
      <c r="D92" s="4" t="n">
        <v>45644</v>
      </c>
      <c r="E92" s="6" t="n">
        <v>9.4</v>
      </c>
      <c r="F92" s="3" t="n">
        <v>7</v>
      </c>
      <c r="G92" s="3">
        <f>IFERROR(ROUND(F92/E92,2),0)</f>
        <v/>
      </c>
      <c r="H92" s="3">
        <f>IF(E92&gt;8.5,"Overtime",IF(E92&lt;7,"Undertime","Normal"))</f>
        <v/>
      </c>
      <c r="I92" s="3" t="inlineStr"/>
    </row>
    <row r="93">
      <c r="A93" s="2" t="inlineStr">
        <is>
          <t>EMP0015</t>
        </is>
      </c>
      <c r="B93" s="3" t="inlineStr">
        <is>
          <t>Jessica White</t>
        </is>
      </c>
      <c r="C93" s="3" t="inlineStr">
        <is>
          <t>Marketing</t>
        </is>
      </c>
      <c r="D93" s="4" t="n">
        <v>45645</v>
      </c>
      <c r="E93" s="3" t="n">
        <v>7.1</v>
      </c>
      <c r="F93" s="3" t="n">
        <v>5</v>
      </c>
      <c r="G93" s="3">
        <f>IFERROR(ROUND(F93/E93,2),0)</f>
        <v/>
      </c>
      <c r="H93" s="3">
        <f>IF(E93&gt;8.5,"Overtime",IF(E93&lt;7,"Undertime","Normal"))</f>
        <v/>
      </c>
      <c r="I93" s="3" t="inlineStr">
        <is>
          <t>High performance</t>
        </is>
      </c>
    </row>
    <row r="94">
      <c r="A94" s="2" t="inlineStr">
        <is>
          <t>EMP0016</t>
        </is>
      </c>
      <c r="B94" s="3" t="inlineStr">
        <is>
          <t>William Taylor</t>
        </is>
      </c>
      <c r="C94" s="3" t="inlineStr">
        <is>
          <t>Finance</t>
        </is>
      </c>
      <c r="D94" s="4" t="n">
        <v>45645</v>
      </c>
      <c r="E94" s="6" t="n">
        <v>9.800000000000001</v>
      </c>
      <c r="F94" s="3" t="n">
        <v>7</v>
      </c>
      <c r="G94" s="3">
        <f>IFERROR(ROUND(F94/E94,2),0)</f>
        <v/>
      </c>
      <c r="H94" s="3">
        <f>IF(E94&gt;8.5,"Overtime",IF(E94&lt;7,"Undertime","Normal"))</f>
        <v/>
      </c>
      <c r="I94" s="3" t="inlineStr">
        <is>
          <t>Training period</t>
        </is>
      </c>
    </row>
    <row r="95">
      <c r="A95" s="2" t="inlineStr">
        <is>
          <t>EMP0001</t>
        </is>
      </c>
      <c r="B95" s="3" t="inlineStr">
        <is>
          <t>Charles Miller</t>
        </is>
      </c>
      <c r="C95" s="3" t="inlineStr">
        <is>
          <t>HR</t>
        </is>
      </c>
      <c r="D95" s="4" t="n">
        <v>45646</v>
      </c>
      <c r="E95" s="6" t="n">
        <v>9.699999999999999</v>
      </c>
      <c r="F95" s="3" t="n">
        <v>14</v>
      </c>
      <c r="G95" s="3">
        <f>IFERROR(ROUND(F95/E95,2),0)</f>
        <v/>
      </c>
      <c r="H95" s="3">
        <f>IF(E95&gt;8.5,"Overtime",IF(E95&lt;7,"Undertime","Normal"))</f>
        <v/>
      </c>
      <c r="I95" s="3" t="inlineStr">
        <is>
          <t>Training period</t>
        </is>
      </c>
    </row>
    <row r="96">
      <c r="A96" s="2" t="inlineStr">
        <is>
          <t>EMP0004</t>
        </is>
      </c>
      <c r="B96" s="3" t="inlineStr">
        <is>
          <t>Betty Brown</t>
        </is>
      </c>
      <c r="C96" s="3" t="inlineStr">
        <is>
          <t>HR</t>
        </is>
      </c>
      <c r="D96" s="4" t="n">
        <v>45646</v>
      </c>
      <c r="E96" s="5" t="n">
        <v>8.699999999999999</v>
      </c>
      <c r="F96" s="3" t="n">
        <v>8</v>
      </c>
      <c r="G96" s="3">
        <f>IFERROR(ROUND(F96/E96,2),0)</f>
        <v/>
      </c>
      <c r="H96" s="3">
        <f>IF(E96&gt;8.5,"Overtime",IF(E96&lt;7,"Undertime","Normal"))</f>
        <v/>
      </c>
      <c r="I96" s="3" t="inlineStr"/>
    </row>
    <row r="97">
      <c r="A97" s="2" t="inlineStr">
        <is>
          <t>EMP0040</t>
        </is>
      </c>
      <c r="B97" s="3" t="inlineStr">
        <is>
          <t>Thomas Anderson</t>
        </is>
      </c>
      <c r="C97" s="3" t="inlineStr">
        <is>
          <t>HR</t>
        </is>
      </c>
      <c r="D97" s="4" t="n">
        <v>45647</v>
      </c>
      <c r="E97" s="5" t="n">
        <v>9</v>
      </c>
      <c r="F97" s="3" t="n">
        <v>6</v>
      </c>
      <c r="G97" s="3">
        <f>IFERROR(ROUND(F97/E97,2),0)</f>
        <v/>
      </c>
      <c r="H97" s="3">
        <f>IF(E97&gt;8.5,"Overtime",IF(E97&lt;7,"Undertime","Normal"))</f>
        <v/>
      </c>
      <c r="I97" s="3" t="inlineStr">
        <is>
          <t>On schedule</t>
        </is>
      </c>
    </row>
    <row r="98">
      <c r="A98" s="2" t="inlineStr">
        <is>
          <t>EMP0040</t>
        </is>
      </c>
      <c r="B98" s="3" t="inlineStr">
        <is>
          <t>Thomas Anderson</t>
        </is>
      </c>
      <c r="C98" s="3" t="inlineStr">
        <is>
          <t>HR</t>
        </is>
      </c>
      <c r="D98" s="4" t="n">
        <v>45647</v>
      </c>
      <c r="E98" s="5" t="n">
        <v>8.699999999999999</v>
      </c>
      <c r="F98" s="3" t="n">
        <v>10</v>
      </c>
      <c r="G98" s="3">
        <f>IFERROR(ROUND(F98/E98,2),0)</f>
        <v/>
      </c>
      <c r="H98" s="3">
        <f>IF(E98&gt;8.5,"Overtime",IF(E98&lt;7,"Undertime","Normal"))</f>
        <v/>
      </c>
      <c r="I98" s="3" t="inlineStr">
        <is>
          <t>High performance</t>
        </is>
      </c>
    </row>
    <row r="99">
      <c r="A99" s="2" t="inlineStr">
        <is>
          <t>EMP0002</t>
        </is>
      </c>
      <c r="B99" s="3" t="inlineStr">
        <is>
          <t>Robert Moore</t>
        </is>
      </c>
      <c r="C99" s="3" t="inlineStr">
        <is>
          <t>Marketing</t>
        </is>
      </c>
      <c r="D99" s="4" t="n">
        <v>45648</v>
      </c>
      <c r="E99" s="3" t="n">
        <v>7.5</v>
      </c>
      <c r="F99" s="3" t="n">
        <v>10</v>
      </c>
      <c r="G99" s="3">
        <f>IFERROR(ROUND(F99/E99,2),0)</f>
        <v/>
      </c>
      <c r="H99" s="3">
        <f>IF(E99&gt;8.5,"Overtime",IF(E99&lt;7,"Undertime","Normal"))</f>
        <v/>
      </c>
      <c r="I99" s="3" t="inlineStr">
        <is>
          <t>Project deadline</t>
        </is>
      </c>
    </row>
    <row r="100">
      <c r="A100" s="2" t="inlineStr">
        <is>
          <t>EMP0027</t>
        </is>
      </c>
      <c r="B100" s="3" t="inlineStr">
        <is>
          <t>Susan Taylor</t>
        </is>
      </c>
      <c r="C100" s="3" t="inlineStr">
        <is>
          <t>Sales</t>
        </is>
      </c>
      <c r="D100" s="4" t="n">
        <v>45648</v>
      </c>
      <c r="E100" s="5" t="n">
        <v>9</v>
      </c>
      <c r="F100" s="3" t="n">
        <v>6</v>
      </c>
      <c r="G100" s="3">
        <f>IFERROR(ROUND(F100/E100,2),0)</f>
        <v/>
      </c>
      <c r="H100" s="3">
        <f>IF(E100&gt;8.5,"Overtime",IF(E100&lt;7,"Undertime","Normal"))</f>
        <v/>
      </c>
      <c r="I100" s="3" t="inlineStr">
        <is>
          <t>Regular duties</t>
        </is>
      </c>
    </row>
    <row r="101">
      <c r="A101" s="2" t="inlineStr">
        <is>
          <t>EMP0009</t>
        </is>
      </c>
      <c r="B101" s="3" t="inlineStr">
        <is>
          <t>Charles Brown</t>
        </is>
      </c>
      <c r="C101" s="3" t="inlineStr">
        <is>
          <t>IT</t>
        </is>
      </c>
      <c r="D101" s="4" t="n">
        <v>45649</v>
      </c>
      <c r="E101" s="3" t="n">
        <v>7.8</v>
      </c>
      <c r="F101" s="3" t="n">
        <v>6</v>
      </c>
      <c r="G101" s="3">
        <f>IFERROR(ROUND(F101/E101,2),0)</f>
        <v/>
      </c>
      <c r="H101" s="3">
        <f>IF(E101&gt;8.5,"Overtime",IF(E101&lt;7,"Undertime","Normal"))</f>
        <v/>
      </c>
      <c r="I101" s="3" t="inlineStr"/>
    </row>
    <row r="102">
      <c r="A102" s="2" t="inlineStr">
        <is>
          <t>EMP0030</t>
        </is>
      </c>
      <c r="B102" s="3" t="inlineStr">
        <is>
          <t>Thomas Martin</t>
        </is>
      </c>
      <c r="C102" s="3" t="inlineStr">
        <is>
          <t>Finance</t>
        </is>
      </c>
      <c r="D102" s="4" t="n">
        <v>45649</v>
      </c>
      <c r="E102" s="5" t="n">
        <v>8.699999999999999</v>
      </c>
      <c r="F102" s="3" t="n">
        <v>8</v>
      </c>
      <c r="G102" s="3">
        <f>IFERROR(ROUND(F102/E102,2),0)</f>
        <v/>
      </c>
      <c r="H102" s="3">
        <f>IF(E102&gt;8.5,"Overtime",IF(E102&lt;7,"Undertime","Normal"))</f>
        <v/>
      </c>
      <c r="I102" s="3" t="inlineStr">
        <is>
          <t>Regular duties</t>
        </is>
      </c>
    </row>
    <row r="103">
      <c r="A103" s="2" t="inlineStr">
        <is>
          <t>EMP0046</t>
        </is>
      </c>
      <c r="B103" s="3" t="inlineStr">
        <is>
          <t>David Taylor</t>
        </is>
      </c>
      <c r="C103" s="3" t="inlineStr">
        <is>
          <t>HR</t>
        </is>
      </c>
      <c r="D103" s="4" t="n">
        <v>45650</v>
      </c>
      <c r="E103" s="5" t="n">
        <v>9</v>
      </c>
      <c r="F103" s="3" t="n">
        <v>4</v>
      </c>
      <c r="G103" s="3">
        <f>IFERROR(ROUND(F103/E103,2),0)</f>
        <v/>
      </c>
      <c r="H103" s="3">
        <f>IF(E103&gt;8.5,"Overtime",IF(E103&lt;7,"Undertime","Normal"))</f>
        <v/>
      </c>
      <c r="I103" s="3" t="inlineStr">
        <is>
          <t>On schedule</t>
        </is>
      </c>
    </row>
    <row r="104">
      <c r="A104" s="2" t="inlineStr">
        <is>
          <t>EMP0026</t>
        </is>
      </c>
      <c r="B104" s="3" t="inlineStr">
        <is>
          <t>Thomas Thompson</t>
        </is>
      </c>
      <c r="C104" s="3" t="inlineStr">
        <is>
          <t>Finance</t>
        </is>
      </c>
      <c r="D104" s="4" t="n">
        <v>45651</v>
      </c>
      <c r="E104" s="3" t="n">
        <v>7.8</v>
      </c>
      <c r="F104" s="3" t="n">
        <v>15</v>
      </c>
      <c r="G104" s="3">
        <f>IFERROR(ROUND(F104/E104,2),0)</f>
        <v/>
      </c>
      <c r="H104" s="3">
        <f>IF(E104&gt;8.5,"Overtime",IF(E104&lt;7,"Undertime","Normal"))</f>
        <v/>
      </c>
      <c r="I104" s="3" t="inlineStr">
        <is>
          <t>Training period</t>
        </is>
      </c>
    </row>
    <row r="105">
      <c r="A105" s="2" t="inlineStr">
        <is>
          <t>EMP0037</t>
        </is>
      </c>
      <c r="B105" s="3" t="inlineStr">
        <is>
          <t>Daniel Garcia</t>
        </is>
      </c>
      <c r="C105" s="3" t="inlineStr">
        <is>
          <t>Sales</t>
        </is>
      </c>
      <c r="D105" s="4" t="n">
        <v>45651</v>
      </c>
      <c r="E105" s="3" t="n">
        <v>6.7</v>
      </c>
      <c r="F105" s="3" t="n">
        <v>11</v>
      </c>
      <c r="G105" s="3">
        <f>IFERROR(ROUND(F105/E105,2),0)</f>
        <v/>
      </c>
      <c r="H105" s="3">
        <f>IF(E105&gt;8.5,"Overtime",IF(E105&lt;7,"Undertime","Normal"))</f>
        <v/>
      </c>
      <c r="I105" s="3" t="inlineStr">
        <is>
          <t>Training period</t>
        </is>
      </c>
    </row>
    <row r="106">
      <c r="A106" s="2" t="inlineStr">
        <is>
          <t>EMP0037</t>
        </is>
      </c>
      <c r="B106" s="3" t="inlineStr">
        <is>
          <t>Daniel Garcia</t>
        </is>
      </c>
      <c r="C106" s="3" t="inlineStr">
        <is>
          <t>Sales</t>
        </is>
      </c>
      <c r="D106" s="4" t="n">
        <v>45653</v>
      </c>
      <c r="E106" s="6" t="n">
        <v>9.699999999999999</v>
      </c>
      <c r="F106" s="3" t="n">
        <v>15</v>
      </c>
      <c r="G106" s="3">
        <f>IFERROR(ROUND(F106/E106,2),0)</f>
        <v/>
      </c>
      <c r="H106" s="3">
        <f>IF(E106&gt;8.5,"Overtime",IF(E106&lt;7,"Undertime","Normal"))</f>
        <v/>
      </c>
      <c r="I106" s="3" t="inlineStr">
        <is>
          <t>High performance</t>
        </is>
      </c>
    </row>
    <row r="107">
      <c r="A107" s="2" t="inlineStr">
        <is>
          <t>EMP0044</t>
        </is>
      </c>
      <c r="B107" s="3" t="inlineStr">
        <is>
          <t>David Rodriguez</t>
        </is>
      </c>
      <c r="C107" s="3" t="inlineStr">
        <is>
          <t>Sales</t>
        </is>
      </c>
      <c r="D107" s="4" t="n">
        <v>45654</v>
      </c>
      <c r="E107" s="3" t="n">
        <v>6.8</v>
      </c>
      <c r="F107" s="3" t="n">
        <v>15</v>
      </c>
      <c r="G107" s="3">
        <f>IFERROR(ROUND(F107/E107,2),0)</f>
        <v/>
      </c>
      <c r="H107" s="3">
        <f>IF(E107&gt;8.5,"Overtime",IF(E107&lt;7,"Undertime","Normal"))</f>
        <v/>
      </c>
      <c r="I107" s="3" t="inlineStr">
        <is>
          <t>Project deadline</t>
        </is>
      </c>
    </row>
    <row r="108">
      <c r="A108" s="2" t="inlineStr">
        <is>
          <t>EMP0018</t>
        </is>
      </c>
      <c r="B108" s="3" t="inlineStr">
        <is>
          <t>Linda Martinez</t>
        </is>
      </c>
      <c r="C108" s="3" t="inlineStr">
        <is>
          <t>Marketing</t>
        </is>
      </c>
      <c r="D108" s="4" t="n">
        <v>45655</v>
      </c>
      <c r="E108" s="5" t="n">
        <v>8.5</v>
      </c>
      <c r="F108" s="3" t="n">
        <v>13</v>
      </c>
      <c r="G108" s="3">
        <f>IFERROR(ROUND(F108/E108,2),0)</f>
        <v/>
      </c>
      <c r="H108" s="3">
        <f>IF(E108&gt;8.5,"Overtime",IF(E108&lt;7,"Undertime","Normal"))</f>
        <v/>
      </c>
      <c r="I108" s="3" t="inlineStr">
        <is>
          <t>Regular duties</t>
        </is>
      </c>
    </row>
    <row r="109">
      <c r="A109" s="2" t="inlineStr">
        <is>
          <t>EMP0032</t>
        </is>
      </c>
      <c r="B109" s="3" t="inlineStr">
        <is>
          <t>Daniel Martin</t>
        </is>
      </c>
      <c r="C109" s="3" t="inlineStr">
        <is>
          <t>Sales</t>
        </is>
      </c>
      <c r="D109" s="4" t="n">
        <v>45655</v>
      </c>
      <c r="E109" s="3" t="n">
        <v>7</v>
      </c>
      <c r="F109" s="3" t="n">
        <v>11</v>
      </c>
      <c r="G109" s="3">
        <f>IFERROR(ROUND(F109/E109,2),0)</f>
        <v/>
      </c>
      <c r="H109" s="3">
        <f>IF(E109&gt;8.5,"Overtime",IF(E109&lt;7,"Undertime","Normal"))</f>
        <v/>
      </c>
      <c r="I109" s="3" t="inlineStr"/>
    </row>
    <row r="110">
      <c r="A110" s="2" t="inlineStr">
        <is>
          <t>EMP0036</t>
        </is>
      </c>
      <c r="B110" s="3" t="inlineStr">
        <is>
          <t>Sarah Jackson</t>
        </is>
      </c>
      <c r="C110" s="3" t="inlineStr">
        <is>
          <t>Marketing</t>
        </is>
      </c>
      <c r="D110" s="4" t="n">
        <v>45655</v>
      </c>
      <c r="E110" s="3" t="n">
        <v>7.2</v>
      </c>
      <c r="F110" s="3" t="n">
        <v>14</v>
      </c>
      <c r="G110" s="3">
        <f>IFERROR(ROUND(F110/E110,2),0)</f>
        <v/>
      </c>
      <c r="H110" s="3">
        <f>IF(E110&gt;8.5,"Overtime",IF(E110&lt;7,"Undertime","Normal"))</f>
        <v/>
      </c>
      <c r="I110" s="3" t="inlineStr">
        <is>
          <t>High performance</t>
        </is>
      </c>
    </row>
  </sheetData>
  <dataValidations count="1">
    <dataValidation sqref="C2:C110" showDropDown="0" showInputMessage="0" showErrorMessage="0" allowBlank="0" errorTitle="Invalid Entry" error="Invalid department" type="list">
      <formula1>"Sales,Marketing,Operations,Finance,IT,HR"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0" customWidth="1" min="4" max="4"/>
    <col width="50" customWidth="1" min="5" max="5"/>
    <col width="20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7" t="inlineStr">
        <is>
          <t>Department</t>
        </is>
      </c>
      <c r="B1" s="7" t="inlineStr">
        <is>
          <t>Total Employees</t>
        </is>
      </c>
      <c r="C1" s="7" t="inlineStr">
        <is>
          <t>Total Hours</t>
        </is>
      </c>
      <c r="D1" s="7" t="inlineStr">
        <is>
          <t>Avg Hours/Employee</t>
        </is>
      </c>
      <c r="E1" s="7" t="inlineStr">
        <is>
          <t>Total Tasks</t>
        </is>
      </c>
      <c r="F1" s="7" t="inlineStr">
        <is>
          <t>Avg Tasks/Employee</t>
        </is>
      </c>
      <c r="G1" s="7" t="inlineStr">
        <is>
          <t>Avg Efficiency</t>
        </is>
      </c>
      <c r="H1" s="7" t="inlineStr">
        <is>
          <t>First Employee</t>
        </is>
      </c>
      <c r="I1" s="7" t="inlineStr">
        <is>
          <t>First Employee Hours</t>
        </is>
      </c>
      <c r="J1" s="7" t="inlineStr">
        <is>
          <t>Dynamic Range Sum</t>
        </is>
      </c>
    </row>
    <row r="2">
      <c r="A2" s="2" t="inlineStr">
        <is>
          <t>Sales</t>
        </is>
      </c>
      <c r="B2" s="3">
        <f>SUMPRODUCT((Operational_Data_Entry!$C$2:$C$110=A2)/COUNTIFS(Operational_Data_Entry!$C$2:$C$110,Operational_Data_Entry!$C$2:$C$110,Operational_Data_Entry!$B$2:$B$110,Operational_Data_Entry!$B$2:$B$110))</f>
        <v/>
      </c>
      <c r="C2" s="3">
        <f>SUMIFS(Operational_Data_Entry!$E$2:$E$110,Operational_Data_Entry!$C$2:$C$110,A2)</f>
        <v/>
      </c>
      <c r="D2" s="3">
        <f>IFERROR(C2/B2,0)</f>
        <v/>
      </c>
      <c r="E2" s="3">
        <f>SUMIFS(Operational_Data_Entry!$F$2:$F$110,Operational_Data_Entry!$C$2:$C$110,A2)</f>
        <v/>
      </c>
      <c r="F2" s="3">
        <f>IFERROR(E2/B2,0)</f>
        <v/>
      </c>
      <c r="G2" s="3">
        <f>AVERAGEIFS(Operational_Data_Entry!$G$2:$G$110,Operational_Data_Entry!$C$2:$C$110,A2)</f>
        <v/>
      </c>
      <c r="H2" s="3">
        <f>IFERROR(INDEX(Operational_Data_Entry!$B$2:$B$110,MATCH(A2,Operational_Data_Entry!$C$2:$C$110,0)),"-")</f>
        <v/>
      </c>
      <c r="I2" s="3">
        <f>IFERROR(INDEX(Operational_Data_Entry!$E$2:$E$110,MATCH(A2,Operational_Data_Entry!$C$2:$C$110,0)),0)</f>
        <v/>
      </c>
      <c r="J2" s="3">
        <f>IFERROR(SUM(OFFSET(Operational_Data_Entry!$E$2,MATCH(A2,Operational_Data_Entry!$C$2:$C$110,0)-1,0,5,1)),0)</f>
        <v/>
      </c>
    </row>
    <row r="3">
      <c r="A3" s="2" t="inlineStr">
        <is>
          <t>Marketing</t>
        </is>
      </c>
      <c r="B3" s="3">
        <f>SUMPRODUCT((Operational_Data_Entry!$C$2:$C$110=A3)/COUNTIFS(Operational_Data_Entry!$C$2:$C$110,Operational_Data_Entry!$C$2:$C$110,Operational_Data_Entry!$B$2:$B$110,Operational_Data_Entry!$B$2:$B$110))</f>
        <v/>
      </c>
      <c r="C3" s="3">
        <f>SUMIFS(Operational_Data_Entry!$E$2:$E$110,Operational_Data_Entry!$C$2:$C$110,A3)</f>
        <v/>
      </c>
      <c r="D3" s="3">
        <f>IFERROR(C3/B3,0)</f>
        <v/>
      </c>
      <c r="E3" s="3">
        <f>SUMIFS(Operational_Data_Entry!$F$2:$F$110,Operational_Data_Entry!$C$2:$C$110,A3)</f>
        <v/>
      </c>
      <c r="F3" s="3">
        <f>IFERROR(E3/B3,0)</f>
        <v/>
      </c>
      <c r="G3" s="3">
        <f>AVERAGEIFS(Operational_Data_Entry!$G$2:$G$110,Operational_Data_Entry!$C$2:$C$110,A3)</f>
        <v/>
      </c>
      <c r="H3" s="3">
        <f>IFERROR(INDEX(Operational_Data_Entry!$B$2:$B$110,MATCH(A3,Operational_Data_Entry!$C$2:$C$110,0)),"-")</f>
        <v/>
      </c>
      <c r="I3" s="3">
        <f>IFERROR(INDEX(Operational_Data_Entry!$E$2:$E$110,MATCH(A3,Operational_Data_Entry!$C$2:$C$110,0)),0)</f>
        <v/>
      </c>
      <c r="J3" s="3">
        <f>IFERROR(SUM(OFFSET(Operational_Data_Entry!$E$2,MATCH(A3,Operational_Data_Entry!$C$2:$C$110,0)-1,0,5,1)),0)</f>
        <v/>
      </c>
    </row>
    <row r="4">
      <c r="A4" s="2" t="inlineStr">
        <is>
          <t>Operations</t>
        </is>
      </c>
      <c r="B4" s="3">
        <f>SUMPRODUCT((Operational_Data_Entry!$C$2:$C$110=A4)/COUNTIFS(Operational_Data_Entry!$C$2:$C$110,Operational_Data_Entry!$C$2:$C$110,Operational_Data_Entry!$B$2:$B$110,Operational_Data_Entry!$B$2:$B$110))</f>
        <v/>
      </c>
      <c r="C4" s="3">
        <f>SUMIFS(Operational_Data_Entry!$E$2:$E$110,Operational_Data_Entry!$C$2:$C$110,A4)</f>
        <v/>
      </c>
      <c r="D4" s="3">
        <f>IFERROR(C4/B4,0)</f>
        <v/>
      </c>
      <c r="E4" s="3">
        <f>SUMIFS(Operational_Data_Entry!$F$2:$F$110,Operational_Data_Entry!$C$2:$C$110,A4)</f>
        <v/>
      </c>
      <c r="F4" s="3">
        <f>IFERROR(E4/B4,0)</f>
        <v/>
      </c>
      <c r="G4" s="3">
        <f>AVERAGEIFS(Operational_Data_Entry!$G$2:$G$110,Operational_Data_Entry!$C$2:$C$110,A4)</f>
        <v/>
      </c>
      <c r="H4" s="3">
        <f>IFERROR(INDEX(Operational_Data_Entry!$B$2:$B$110,MATCH(A4,Operational_Data_Entry!$C$2:$C$110,0)),"-")</f>
        <v/>
      </c>
      <c r="I4" s="3">
        <f>IFERROR(INDEX(Operational_Data_Entry!$E$2:$E$110,MATCH(A4,Operational_Data_Entry!$C$2:$C$110,0)),0)</f>
        <v/>
      </c>
      <c r="J4" s="3">
        <f>IFERROR(SUM(OFFSET(Operational_Data_Entry!$E$2,MATCH(A4,Operational_Data_Entry!$C$2:$C$110,0)-1,0,5,1)),0)</f>
        <v/>
      </c>
    </row>
    <row r="5">
      <c r="A5" s="2" t="inlineStr">
        <is>
          <t>Finance</t>
        </is>
      </c>
      <c r="B5" s="3">
        <f>SUMPRODUCT((Operational_Data_Entry!$C$2:$C$110=A5)/COUNTIFS(Operational_Data_Entry!$C$2:$C$110,Operational_Data_Entry!$C$2:$C$110,Operational_Data_Entry!$B$2:$B$110,Operational_Data_Entry!$B$2:$B$110))</f>
        <v/>
      </c>
      <c r="C5" s="3">
        <f>SUMIFS(Operational_Data_Entry!$E$2:$E$110,Operational_Data_Entry!$C$2:$C$110,A5)</f>
        <v/>
      </c>
      <c r="D5" s="3">
        <f>IFERROR(C5/B5,0)</f>
        <v/>
      </c>
      <c r="E5" s="3">
        <f>SUMIFS(Operational_Data_Entry!$F$2:$F$110,Operational_Data_Entry!$C$2:$C$110,A5)</f>
        <v/>
      </c>
      <c r="F5" s="3">
        <f>IFERROR(E5/B5,0)</f>
        <v/>
      </c>
      <c r="G5" s="3">
        <f>AVERAGEIFS(Operational_Data_Entry!$G$2:$G$110,Operational_Data_Entry!$C$2:$C$110,A5)</f>
        <v/>
      </c>
      <c r="H5" s="3">
        <f>IFERROR(INDEX(Operational_Data_Entry!$B$2:$B$110,MATCH(A5,Operational_Data_Entry!$C$2:$C$110,0)),"-")</f>
        <v/>
      </c>
      <c r="I5" s="3">
        <f>IFERROR(INDEX(Operational_Data_Entry!$E$2:$E$110,MATCH(A5,Operational_Data_Entry!$C$2:$C$110,0)),0)</f>
        <v/>
      </c>
      <c r="J5" s="3">
        <f>IFERROR(SUM(OFFSET(Operational_Data_Entry!$E$2,MATCH(A5,Operational_Data_Entry!$C$2:$C$110,0)-1,0,5,1)),0)</f>
        <v/>
      </c>
    </row>
    <row r="6">
      <c r="A6" s="2" t="inlineStr">
        <is>
          <t>IT</t>
        </is>
      </c>
      <c r="B6" s="3">
        <f>SUMPRODUCT((Operational_Data_Entry!$C$2:$C$110=A6)/COUNTIFS(Operational_Data_Entry!$C$2:$C$110,Operational_Data_Entry!$C$2:$C$110,Operational_Data_Entry!$B$2:$B$110,Operational_Data_Entry!$B$2:$B$110))</f>
        <v/>
      </c>
      <c r="C6" s="3">
        <f>SUMIFS(Operational_Data_Entry!$E$2:$E$110,Operational_Data_Entry!$C$2:$C$110,A6)</f>
        <v/>
      </c>
      <c r="D6" s="3">
        <f>IFERROR(C6/B6,0)</f>
        <v/>
      </c>
      <c r="E6" s="3">
        <f>SUMIFS(Operational_Data_Entry!$F$2:$F$110,Operational_Data_Entry!$C$2:$C$110,A6)</f>
        <v/>
      </c>
      <c r="F6" s="3">
        <f>IFERROR(E6/B6,0)</f>
        <v/>
      </c>
      <c r="G6" s="3">
        <f>AVERAGEIFS(Operational_Data_Entry!$G$2:$G$110,Operational_Data_Entry!$C$2:$C$110,A6)</f>
        <v/>
      </c>
      <c r="H6" s="3">
        <f>IFERROR(INDEX(Operational_Data_Entry!$B$2:$B$110,MATCH(A6,Operational_Data_Entry!$C$2:$C$110,0)),"-")</f>
        <v/>
      </c>
      <c r="I6" s="3">
        <f>IFERROR(INDEX(Operational_Data_Entry!$E$2:$E$110,MATCH(A6,Operational_Data_Entry!$C$2:$C$110,0)),0)</f>
        <v/>
      </c>
      <c r="J6" s="3">
        <f>IFERROR(SUM(OFFSET(Operational_Data_Entry!$E$2,MATCH(A6,Operational_Data_Entry!$C$2:$C$110,0)-1,0,5,1)),0)</f>
        <v/>
      </c>
    </row>
    <row r="7">
      <c r="A7" s="2" t="inlineStr">
        <is>
          <t>HR</t>
        </is>
      </c>
      <c r="B7" s="3">
        <f>SUMPRODUCT((Operational_Data_Entry!$C$2:$C$110=A7)/COUNTIFS(Operational_Data_Entry!$C$2:$C$110,Operational_Data_Entry!$C$2:$C$110,Operational_Data_Entry!$B$2:$B$110,Operational_Data_Entry!$B$2:$B$110))</f>
        <v/>
      </c>
      <c r="C7" s="3">
        <f>SUMIFS(Operational_Data_Entry!$E$2:$E$110,Operational_Data_Entry!$C$2:$C$110,A7)</f>
        <v/>
      </c>
      <c r="D7" s="3">
        <f>IFERROR(C7/B7,0)</f>
        <v/>
      </c>
      <c r="E7" s="3">
        <f>SUMIFS(Operational_Data_Entry!$F$2:$F$110,Operational_Data_Entry!$C$2:$C$110,A7)</f>
        <v/>
      </c>
      <c r="F7" s="3">
        <f>IFERROR(E7/B7,0)</f>
        <v/>
      </c>
      <c r="G7" s="3">
        <f>AVERAGEIFS(Operational_Data_Entry!$G$2:$G$110,Operational_Data_Entry!$C$2:$C$110,A7)</f>
        <v/>
      </c>
      <c r="H7" s="3">
        <f>IFERROR(INDEX(Operational_Data_Entry!$B$2:$B$110,MATCH(A7,Operational_Data_Entry!$C$2:$C$110,0)),"-")</f>
        <v/>
      </c>
      <c r="I7" s="3">
        <f>IFERROR(INDEX(Operational_Data_Entry!$E$2:$E$110,MATCH(A7,Operational_Data_Entry!$C$2:$C$110,0)),0)</f>
        <v/>
      </c>
      <c r="J7" s="3">
        <f>IFERROR(SUM(OFFSET(Operational_Data_Entry!$E$2,MATCH(A7,Operational_Data_Entry!$C$2:$C$110,0)-1,0,5,1)),0)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PIVOTTABLE PLACEHOLDER</t>
        </is>
      </c>
    </row>
    <row r="3">
      <c r="A3" s="9" t="inlineStr">
        <is>
          <t>Instructions:</t>
        </is>
      </c>
    </row>
    <row r="4">
      <c r="A4" t="inlineStr">
        <is>
          <t>1. Select any cell in the 'Operational_Data_Entry' sheet</t>
        </is>
      </c>
    </row>
    <row r="5">
      <c r="A5" t="inlineStr">
        <is>
          <t>2. Go to Insert &gt; PivotTable</t>
        </is>
      </c>
    </row>
    <row r="6">
      <c r="A6" t="inlineStr">
        <is>
          <t>3. Place the PivotTable in this sheet</t>
        </is>
      </c>
    </row>
    <row r="7">
      <c r="A7" t="inlineStr">
        <is>
          <t>4. Recommended configuration:</t>
        </is>
      </c>
    </row>
    <row r="8">
      <c r="A8" t="inlineStr">
        <is>
          <t xml:space="preserve">   - Rows: Department, Employee Name</t>
        </is>
      </c>
    </row>
    <row r="9">
      <c r="A9" t="inlineStr">
        <is>
          <t xml:space="preserve">   - Values: Sum of Hours Worked, Average of Efficiency Score</t>
        </is>
      </c>
    </row>
    <row r="10">
      <c r="A10" t="inlineStr">
        <is>
          <t xml:space="preserve">   - Filters: Date,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8" customWidth="1" min="4" max="4"/>
    <col width="10" customWidth="1" min="5" max="5"/>
    <col width="11" customWidth="1" min="6" max="6"/>
    <col width="21" customWidth="1" min="7" max="7"/>
    <col width="13" customWidth="1" min="8" max="8"/>
    <col width="38" customWidth="1" min="9" max="9"/>
    <col width="16" customWidth="1" min="10" max="10"/>
  </cols>
  <sheetData>
    <row r="1">
      <c r="A1" s="10" t="inlineStr">
        <is>
          <t>Transaction ID</t>
        </is>
      </c>
      <c r="B1" s="10" t="inlineStr">
        <is>
          <t>Date</t>
        </is>
      </c>
      <c r="C1" s="10" t="inlineStr">
        <is>
          <t>Department</t>
        </is>
      </c>
      <c r="D1" s="10" t="inlineStr">
        <is>
          <t>Transaction Type</t>
        </is>
      </c>
      <c r="E1" s="10" t="inlineStr">
        <is>
          <t>Amount</t>
        </is>
      </c>
      <c r="F1" s="10" t="inlineStr">
        <is>
          <t>Status</t>
        </is>
      </c>
      <c r="G1" s="10" t="inlineStr">
        <is>
          <t>Approved By</t>
        </is>
      </c>
      <c r="H1" s="10" t="inlineStr">
        <is>
          <t>Employee ID</t>
        </is>
      </c>
      <c r="I1" s="10" t="inlineStr">
        <is>
          <t>Description</t>
        </is>
      </c>
      <c r="J1" s="10" t="inlineStr">
        <is>
          <t>Payment Method</t>
        </is>
      </c>
    </row>
    <row r="2">
      <c r="A2" s="2" t="inlineStr">
        <is>
          <t>TXN00005</t>
        </is>
      </c>
      <c r="B2" s="4" t="n">
        <v>45566</v>
      </c>
      <c r="C2" s="3" t="inlineStr">
        <is>
          <t>HR</t>
        </is>
      </c>
      <c r="D2" s="3" t="inlineStr">
        <is>
          <t>Invoice</t>
        </is>
      </c>
      <c r="E2" s="11" t="n">
        <v>16574.33</v>
      </c>
      <c r="F2" s="3" t="inlineStr">
        <is>
          <t>Completed</t>
        </is>
      </c>
      <c r="G2" s="3" t="inlineStr">
        <is>
          <t>Sarah Davis</t>
        </is>
      </c>
      <c r="H2" s="3" t="inlineStr">
        <is>
          <t>EMP0018</t>
        </is>
      </c>
      <c r="I2" s="3" t="inlineStr">
        <is>
          <t>Invoice for project materials</t>
        </is>
      </c>
      <c r="J2" s="3" t="inlineStr">
        <is>
          <t>Credit Card</t>
        </is>
      </c>
    </row>
    <row r="3">
      <c r="A3" s="2" t="inlineStr">
        <is>
          <t>TXN00037</t>
        </is>
      </c>
      <c r="B3" s="4" t="n">
        <v>45566</v>
      </c>
      <c r="C3" s="3" t="inlineStr">
        <is>
          <t>Marketing</t>
        </is>
      </c>
      <c r="D3" s="3" t="inlineStr">
        <is>
          <t>Payment</t>
        </is>
      </c>
      <c r="E3" s="12" t="n">
        <v>26991.84</v>
      </c>
      <c r="F3" s="3" t="inlineStr">
        <is>
          <t>Pending</t>
        </is>
      </c>
      <c r="G3" s="3" t="inlineStr">
        <is>
          <t>Jennifer Martinez</t>
        </is>
      </c>
      <c r="H3" s="3" t="inlineStr">
        <is>
          <t>EMP0001</t>
        </is>
      </c>
      <c r="I3" s="3" t="inlineStr">
        <is>
          <t>Client payment</t>
        </is>
      </c>
      <c r="J3" s="3" t="inlineStr">
        <is>
          <t>Check</t>
        </is>
      </c>
    </row>
    <row r="4">
      <c r="A4" s="2" t="inlineStr">
        <is>
          <t>TXN00011</t>
        </is>
      </c>
      <c r="B4" s="4" t="n">
        <v>45568</v>
      </c>
      <c r="C4" s="3" t="inlineStr">
        <is>
          <t>Marketing</t>
        </is>
      </c>
      <c r="D4" s="3" t="inlineStr">
        <is>
          <t>Payment</t>
        </is>
      </c>
      <c r="E4" s="12" t="n">
        <v>24989.88</v>
      </c>
      <c r="F4" s="3" t="inlineStr">
        <is>
          <t>Completed</t>
        </is>
      </c>
      <c r="G4" s="3" t="inlineStr">
        <is>
          <t>John Davis</t>
        </is>
      </c>
      <c r="H4" s="3" t="inlineStr">
        <is>
          <t>EMP0012</t>
        </is>
      </c>
      <c r="I4" s="3" t="inlineStr">
        <is>
          <t>Client payment</t>
        </is>
      </c>
      <c r="J4" s="3" t="inlineStr">
        <is>
          <t>Bank Transfer</t>
        </is>
      </c>
    </row>
    <row r="5">
      <c r="A5" s="2" t="inlineStr">
        <is>
          <t>TXN00050</t>
        </is>
      </c>
      <c r="B5" s="4" t="n">
        <v>45568</v>
      </c>
      <c r="C5" s="3" t="inlineStr">
        <is>
          <t>Finance</t>
        </is>
      </c>
      <c r="D5" s="3" t="inlineStr">
        <is>
          <t>Invoice</t>
        </is>
      </c>
      <c r="E5" s="12" t="n">
        <v>37157.71</v>
      </c>
      <c r="F5" s="3" t="inlineStr">
        <is>
          <t>Completed</t>
        </is>
      </c>
      <c r="G5" s="3" t="inlineStr">
        <is>
          <t>David Rodriguez</t>
        </is>
      </c>
      <c r="H5" s="3" t="inlineStr">
        <is>
          <t>EMP0010</t>
        </is>
      </c>
      <c r="I5" s="3" t="inlineStr">
        <is>
          <t>Q4 invoice processing</t>
        </is>
      </c>
      <c r="J5" s="3" t="inlineStr">
        <is>
          <t>Credit Card</t>
        </is>
      </c>
    </row>
    <row r="6">
      <c r="A6" s="2" t="inlineStr">
        <is>
          <t>TXN00023</t>
        </is>
      </c>
      <c r="B6" s="4" t="n">
        <v>45569</v>
      </c>
      <c r="C6" s="3" t="inlineStr">
        <is>
          <t>Sales</t>
        </is>
      </c>
      <c r="D6" s="3" t="inlineStr">
        <is>
          <t>Payment</t>
        </is>
      </c>
      <c r="E6" s="13" t="n">
        <v>6229.51</v>
      </c>
      <c r="F6" s="3" t="inlineStr">
        <is>
          <t>Completed</t>
        </is>
      </c>
      <c r="G6" s="3" t="inlineStr">
        <is>
          <t>Joseph Thompson</t>
        </is>
      </c>
      <c r="H6" s="3" t="inlineStr">
        <is>
          <t>EMP0016</t>
        </is>
      </c>
      <c r="I6" s="3" t="inlineStr">
        <is>
          <t>Sales department payment</t>
        </is>
      </c>
      <c r="J6" s="3" t="inlineStr">
        <is>
          <t>Credit Card</t>
        </is>
      </c>
    </row>
    <row r="7">
      <c r="A7" s="2" t="inlineStr">
        <is>
          <t>TXN00025</t>
        </is>
      </c>
      <c r="B7" s="4" t="n">
        <v>45570</v>
      </c>
      <c r="C7" s="3" t="inlineStr">
        <is>
          <t>Operations</t>
        </is>
      </c>
      <c r="D7" s="3" t="inlineStr">
        <is>
          <t>Refund</t>
        </is>
      </c>
      <c r="E7" s="13" t="n">
        <v>4923.89</v>
      </c>
      <c r="F7" s="3" t="inlineStr">
        <is>
          <t>Completed</t>
        </is>
      </c>
      <c r="G7" s="3" t="inlineStr">
        <is>
          <t>Daniel Rodriguez</t>
        </is>
      </c>
      <c r="H7" s="3" t="inlineStr">
        <is>
          <t>EMP0043</t>
        </is>
      </c>
      <c r="I7" s="3" t="inlineStr">
        <is>
          <t>Vendor refund</t>
        </is>
      </c>
      <c r="J7" s="3" t="inlineStr">
        <is>
          <t>Check</t>
        </is>
      </c>
    </row>
    <row r="8">
      <c r="A8" s="2" t="inlineStr">
        <is>
          <t>TXN00043</t>
        </is>
      </c>
      <c r="B8" s="4" t="n">
        <v>45570</v>
      </c>
      <c r="C8" s="3" t="inlineStr">
        <is>
          <t>Marketing</t>
        </is>
      </c>
      <c r="D8" s="3" t="inlineStr">
        <is>
          <t>Purchase Order</t>
        </is>
      </c>
      <c r="E8" s="12" t="n">
        <v>23346.33</v>
      </c>
      <c r="F8" s="3" t="inlineStr">
        <is>
          <t>Pending</t>
        </is>
      </c>
      <c r="G8" s="3" t="inlineStr">
        <is>
          <t>Barbara Harris</t>
        </is>
      </c>
      <c r="H8" s="3" t="inlineStr">
        <is>
          <t>EMP0044</t>
        </is>
      </c>
      <c r="I8" s="3" t="inlineStr">
        <is>
          <t>Purchase Order for project materials</t>
        </is>
      </c>
      <c r="J8" s="3" t="inlineStr">
        <is>
          <t>Credit Card</t>
        </is>
      </c>
    </row>
    <row r="9">
      <c r="A9" s="2" t="inlineStr">
        <is>
          <t>TXN00053</t>
        </is>
      </c>
      <c r="B9" s="4" t="n">
        <v>45570</v>
      </c>
      <c r="C9" s="3" t="inlineStr">
        <is>
          <t>Finance</t>
        </is>
      </c>
      <c r="D9" s="3" t="inlineStr">
        <is>
          <t>Refund</t>
        </is>
      </c>
      <c r="E9" s="13" t="n">
        <v>2104.82</v>
      </c>
      <c r="F9" s="3" t="inlineStr">
        <is>
          <t>Pending</t>
        </is>
      </c>
      <c r="G9" s="3" t="inlineStr">
        <is>
          <t>Robert Martin</t>
        </is>
      </c>
      <c r="H9" s="3" t="inlineStr">
        <is>
          <t>EMP0030</t>
        </is>
      </c>
      <c r="I9" s="3" t="inlineStr">
        <is>
          <t>Refund for project materials</t>
        </is>
      </c>
      <c r="J9" s="3" t="inlineStr">
        <is>
          <t>Credit Card</t>
        </is>
      </c>
    </row>
    <row r="10">
      <c r="A10" s="2" t="inlineStr">
        <is>
          <t>TXN00095</t>
        </is>
      </c>
      <c r="B10" s="4" t="n">
        <v>45571</v>
      </c>
      <c r="C10" s="3" t="inlineStr">
        <is>
          <t>IT</t>
        </is>
      </c>
      <c r="D10" s="3" t="inlineStr">
        <is>
          <t>Expense Claim</t>
        </is>
      </c>
      <c r="E10" s="13" t="n">
        <v>1830.46</v>
      </c>
      <c r="F10" s="3" t="inlineStr">
        <is>
          <t>Completed</t>
        </is>
      </c>
      <c r="G10" s="3" t="inlineStr">
        <is>
          <t>Karen Taylor</t>
        </is>
      </c>
      <c r="H10" s="3" t="inlineStr">
        <is>
          <t>EMP0010</t>
        </is>
      </c>
      <c r="I10" s="3" t="inlineStr">
        <is>
          <t>Q4 expense claim processing</t>
        </is>
      </c>
      <c r="J10" s="3" t="inlineStr">
        <is>
          <t>Check</t>
        </is>
      </c>
    </row>
    <row r="11">
      <c r="A11" s="2" t="inlineStr">
        <is>
          <t>TXN00042</t>
        </is>
      </c>
      <c r="B11" s="4" t="n">
        <v>45572</v>
      </c>
      <c r="C11" s="3" t="inlineStr">
        <is>
          <t>HR</t>
        </is>
      </c>
      <c r="D11" s="3" t="inlineStr">
        <is>
          <t>Payment</t>
        </is>
      </c>
      <c r="E11" s="12" t="n">
        <v>29996.72</v>
      </c>
      <c r="F11" s="3" t="inlineStr">
        <is>
          <t>Cancelled</t>
        </is>
      </c>
      <c r="G11" s="3" t="inlineStr">
        <is>
          <t>William Wilson</t>
        </is>
      </c>
      <c r="H11" s="3" t="inlineStr">
        <is>
          <t>EMP0019</t>
        </is>
      </c>
      <c r="I11" s="3" t="inlineStr">
        <is>
          <t>HR department payment</t>
        </is>
      </c>
      <c r="J11" s="3" t="inlineStr">
        <is>
          <t>ACH</t>
        </is>
      </c>
    </row>
    <row r="12">
      <c r="A12" s="2" t="inlineStr">
        <is>
          <t>TXN00088</t>
        </is>
      </c>
      <c r="B12" s="4" t="n">
        <v>45572</v>
      </c>
      <c r="C12" s="3" t="inlineStr">
        <is>
          <t>Sales</t>
        </is>
      </c>
      <c r="D12" s="3" t="inlineStr">
        <is>
          <t>Invoice</t>
        </is>
      </c>
      <c r="E12" s="11" t="n">
        <v>16585.77</v>
      </c>
      <c r="F12" s="3" t="inlineStr">
        <is>
          <t>Completed</t>
        </is>
      </c>
      <c r="G12" s="3" t="inlineStr">
        <is>
          <t>Charles White</t>
        </is>
      </c>
      <c r="H12" s="3" t="inlineStr">
        <is>
          <t>EMP0017</t>
        </is>
      </c>
      <c r="I12" s="3" t="inlineStr">
        <is>
          <t>Q4 invoice processing</t>
        </is>
      </c>
      <c r="J12" s="3" t="inlineStr">
        <is>
          <t>Credit Card</t>
        </is>
      </c>
    </row>
    <row r="13">
      <c r="A13" s="2" t="inlineStr">
        <is>
          <t>TXN00041</t>
        </is>
      </c>
      <c r="B13" s="4" t="n">
        <v>45573</v>
      </c>
      <c r="C13" s="3" t="inlineStr">
        <is>
          <t>Finance</t>
        </is>
      </c>
      <c r="D13" s="3" t="inlineStr">
        <is>
          <t>Payment</t>
        </is>
      </c>
      <c r="E13" s="12" t="n">
        <v>29689.61</v>
      </c>
      <c r="F13" s="3" t="inlineStr">
        <is>
          <t>Pending</t>
        </is>
      </c>
      <c r="G13" s="3" t="inlineStr">
        <is>
          <t>Thomas Thomas</t>
        </is>
      </c>
      <c r="H13" s="3" t="inlineStr">
        <is>
          <t>EMP0036</t>
        </is>
      </c>
      <c r="I13" s="3" t="inlineStr">
        <is>
          <t>Vendor payment</t>
        </is>
      </c>
      <c r="J13" s="3" t="inlineStr">
        <is>
          <t>Bank Transfer</t>
        </is>
      </c>
    </row>
    <row r="14">
      <c r="A14" s="2" t="inlineStr">
        <is>
          <t>TXN00047</t>
        </is>
      </c>
      <c r="B14" s="4" t="n">
        <v>45573</v>
      </c>
      <c r="C14" s="3" t="inlineStr">
        <is>
          <t>Operations</t>
        </is>
      </c>
      <c r="D14" s="3" t="inlineStr">
        <is>
          <t>Payment</t>
        </is>
      </c>
      <c r="E14" s="12" t="n">
        <v>26769.77</v>
      </c>
      <c r="F14" s="3" t="inlineStr">
        <is>
          <t>Completed</t>
        </is>
      </c>
      <c r="G14" s="3" t="inlineStr">
        <is>
          <t>Nancy Wilson</t>
        </is>
      </c>
      <c r="H14" s="3" t="inlineStr">
        <is>
          <t>EMP0003</t>
        </is>
      </c>
      <c r="I14" s="3" t="inlineStr">
        <is>
          <t>Client payment</t>
        </is>
      </c>
      <c r="J14" s="3" t="inlineStr">
        <is>
          <t>Bank Transfer</t>
        </is>
      </c>
    </row>
    <row r="15">
      <c r="A15" s="2" t="inlineStr">
        <is>
          <t>TXN00070</t>
        </is>
      </c>
      <c r="B15" s="4" t="n">
        <v>45575</v>
      </c>
      <c r="C15" s="3" t="inlineStr">
        <is>
          <t>Sales</t>
        </is>
      </c>
      <c r="D15" s="3" t="inlineStr">
        <is>
          <t>Invoice</t>
        </is>
      </c>
      <c r="E15" s="12" t="n">
        <v>33319.85</v>
      </c>
      <c r="F15" s="3" t="inlineStr">
        <is>
          <t>Completed</t>
        </is>
      </c>
      <c r="G15" s="3" t="inlineStr">
        <is>
          <t>William Thompson</t>
        </is>
      </c>
      <c r="H15" s="3" t="inlineStr">
        <is>
          <t>EMP0005</t>
        </is>
      </c>
      <c r="I15" s="3" t="inlineStr">
        <is>
          <t>Invoice for project materials</t>
        </is>
      </c>
      <c r="J15" s="3" t="inlineStr">
        <is>
          <t>ACH</t>
        </is>
      </c>
    </row>
    <row r="16">
      <c r="A16" s="2" t="inlineStr">
        <is>
          <t>TXN00052</t>
        </is>
      </c>
      <c r="B16" s="4" t="n">
        <v>45578</v>
      </c>
      <c r="C16" s="3" t="inlineStr">
        <is>
          <t>HR</t>
        </is>
      </c>
      <c r="D16" s="3" t="inlineStr">
        <is>
          <t>Payment</t>
        </is>
      </c>
      <c r="E16" s="11" t="n">
        <v>12189.16</v>
      </c>
      <c r="F16" s="3" t="inlineStr">
        <is>
          <t>Completed</t>
        </is>
      </c>
      <c r="G16" s="3" t="inlineStr">
        <is>
          <t>Jessica Taylor</t>
        </is>
      </c>
      <c r="H16" s="3" t="inlineStr">
        <is>
          <t>EMP0021</t>
        </is>
      </c>
      <c r="I16" s="3" t="inlineStr">
        <is>
          <t>Client payment</t>
        </is>
      </c>
      <c r="J16" s="3" t="inlineStr">
        <is>
          <t>Check</t>
        </is>
      </c>
    </row>
    <row r="17">
      <c r="A17" s="2" t="inlineStr">
        <is>
          <t>TXN00073</t>
        </is>
      </c>
      <c r="B17" s="4" t="n">
        <v>45578</v>
      </c>
      <c r="C17" s="3" t="inlineStr">
        <is>
          <t>Operations</t>
        </is>
      </c>
      <c r="D17" s="3" t="inlineStr">
        <is>
          <t>Expense Claim</t>
        </is>
      </c>
      <c r="E17" s="13" t="n">
        <v>252</v>
      </c>
      <c r="F17" s="3" t="inlineStr">
        <is>
          <t>Completed</t>
        </is>
      </c>
      <c r="G17" s="3" t="inlineStr">
        <is>
          <t>Betty Davis</t>
        </is>
      </c>
      <c r="H17" s="3" t="inlineStr">
        <is>
          <t>EMP0045</t>
        </is>
      </c>
      <c r="I17" s="3" t="inlineStr">
        <is>
          <t>Q4 expense claim processing</t>
        </is>
      </c>
      <c r="J17" s="3" t="inlineStr">
        <is>
          <t>ACH</t>
        </is>
      </c>
    </row>
    <row r="18">
      <c r="A18" s="2" t="inlineStr">
        <is>
          <t>TXN00006</t>
        </is>
      </c>
      <c r="B18" s="4" t="n">
        <v>45579</v>
      </c>
      <c r="C18" s="3" t="inlineStr">
        <is>
          <t>Operations</t>
        </is>
      </c>
      <c r="D18" s="3" t="inlineStr">
        <is>
          <t>Payment</t>
        </is>
      </c>
      <c r="E18" s="12" t="n">
        <v>25224.07</v>
      </c>
      <c r="F18" s="3" t="inlineStr">
        <is>
          <t>Completed</t>
        </is>
      </c>
      <c r="G18" s="3" t="inlineStr">
        <is>
          <t>Patricia Thompson</t>
        </is>
      </c>
      <c r="H18" s="3" t="inlineStr">
        <is>
          <t>EMP0047</t>
        </is>
      </c>
      <c r="I18" s="3" t="inlineStr">
        <is>
          <t>Q4 payment processing</t>
        </is>
      </c>
      <c r="J18" s="3" t="inlineStr">
        <is>
          <t>ACH</t>
        </is>
      </c>
    </row>
    <row r="19">
      <c r="A19" s="2" t="inlineStr">
        <is>
          <t>TXN00066</t>
        </is>
      </c>
      <c r="B19" s="4" t="n">
        <v>45581</v>
      </c>
      <c r="C19" s="3" t="inlineStr">
        <is>
          <t>HR</t>
        </is>
      </c>
      <c r="D19" s="3" t="inlineStr">
        <is>
          <t>Payment</t>
        </is>
      </c>
      <c r="E19" s="13" t="n">
        <v>4787.06</v>
      </c>
      <c r="F19" s="3" t="inlineStr">
        <is>
          <t>Completed</t>
        </is>
      </c>
      <c r="G19" s="3" t="inlineStr">
        <is>
          <t>David Anderson</t>
        </is>
      </c>
      <c r="H19" s="3" t="inlineStr">
        <is>
          <t>EMP0030</t>
        </is>
      </c>
      <c r="I19" s="3" t="inlineStr">
        <is>
          <t>Client payment</t>
        </is>
      </c>
      <c r="J19" s="3" t="inlineStr">
        <is>
          <t>ACH</t>
        </is>
      </c>
    </row>
    <row r="20">
      <c r="A20" s="2" t="inlineStr">
        <is>
          <t>TXN00072</t>
        </is>
      </c>
      <c r="B20" s="4" t="n">
        <v>45582</v>
      </c>
      <c r="C20" s="3" t="inlineStr">
        <is>
          <t>Sales</t>
        </is>
      </c>
      <c r="D20" s="3" t="inlineStr">
        <is>
          <t>Purchase Order</t>
        </is>
      </c>
      <c r="E20" s="11" t="n">
        <v>17453.05</v>
      </c>
      <c r="F20" s="3" t="inlineStr">
        <is>
          <t>Completed</t>
        </is>
      </c>
      <c r="G20" s="3" t="inlineStr">
        <is>
          <t>Daniel Martin</t>
        </is>
      </c>
      <c r="H20" s="3" t="inlineStr">
        <is>
          <t>EMP0049</t>
        </is>
      </c>
      <c r="I20" s="3" t="inlineStr">
        <is>
          <t>Q4 purchase order processing</t>
        </is>
      </c>
      <c r="J20" s="3" t="inlineStr">
        <is>
          <t>ACH</t>
        </is>
      </c>
    </row>
    <row r="21">
      <c r="A21" s="2" t="inlineStr">
        <is>
          <t>TXN00092</t>
        </is>
      </c>
      <c r="B21" s="4" t="n">
        <v>45582</v>
      </c>
      <c r="C21" s="3" t="inlineStr">
        <is>
          <t>IT</t>
        </is>
      </c>
      <c r="D21" s="3" t="inlineStr">
        <is>
          <t>Expense Claim</t>
        </is>
      </c>
      <c r="E21" s="13" t="n">
        <v>473.23</v>
      </c>
      <c r="F21" s="3" t="inlineStr">
        <is>
          <t>Completed</t>
        </is>
      </c>
      <c r="G21" s="3" t="inlineStr">
        <is>
          <t>Daniel Martin</t>
        </is>
      </c>
      <c r="H21" s="3" t="inlineStr">
        <is>
          <t>EMP0020</t>
        </is>
      </c>
      <c r="I21" s="3" t="inlineStr">
        <is>
          <t>Client expense claim</t>
        </is>
      </c>
      <c r="J21" s="3" t="inlineStr">
        <is>
          <t>Check</t>
        </is>
      </c>
    </row>
    <row r="22">
      <c r="A22" s="2" t="inlineStr">
        <is>
          <t>TXN00046</t>
        </is>
      </c>
      <c r="B22" s="4" t="n">
        <v>45583</v>
      </c>
      <c r="C22" s="3" t="inlineStr">
        <is>
          <t>Operations</t>
        </is>
      </c>
      <c r="D22" s="3" t="inlineStr">
        <is>
          <t>Purchase Order</t>
        </is>
      </c>
      <c r="E22" s="12" t="n">
        <v>20541.25</v>
      </c>
      <c r="F22" s="3" t="inlineStr">
        <is>
          <t>Completed</t>
        </is>
      </c>
      <c r="G22" s="3" t="inlineStr">
        <is>
          <t>Patricia Taylor</t>
        </is>
      </c>
      <c r="H22" s="3" t="inlineStr">
        <is>
          <t>EMP0012</t>
        </is>
      </c>
      <c r="I22" s="3" t="inlineStr">
        <is>
          <t>Vendor purchase order</t>
        </is>
      </c>
      <c r="J22" s="3" t="inlineStr">
        <is>
          <t>Check</t>
        </is>
      </c>
    </row>
    <row r="23">
      <c r="A23" s="2" t="inlineStr">
        <is>
          <t>TXN00086</t>
        </is>
      </c>
      <c r="B23" s="4" t="n">
        <v>45583</v>
      </c>
      <c r="C23" s="3" t="inlineStr">
        <is>
          <t>Sales</t>
        </is>
      </c>
      <c r="D23" s="3" t="inlineStr">
        <is>
          <t>Invoice</t>
        </is>
      </c>
      <c r="E23" s="12" t="n">
        <v>26011.27</v>
      </c>
      <c r="F23" s="3" t="inlineStr">
        <is>
          <t>Pending</t>
        </is>
      </c>
      <c r="G23" s="3" t="inlineStr">
        <is>
          <t>Patricia White</t>
        </is>
      </c>
      <c r="H23" s="3" t="inlineStr">
        <is>
          <t>EMP0003</t>
        </is>
      </c>
      <c r="I23" s="3" t="inlineStr">
        <is>
          <t>Q4 invoice processing</t>
        </is>
      </c>
      <c r="J23" s="3" t="inlineStr">
        <is>
          <t>Wire Transfer</t>
        </is>
      </c>
    </row>
    <row r="24">
      <c r="A24" s="2" t="inlineStr">
        <is>
          <t>TXN00084</t>
        </is>
      </c>
      <c r="B24" s="4" t="n">
        <v>45585</v>
      </c>
      <c r="C24" s="3" t="inlineStr">
        <is>
          <t>Sales</t>
        </is>
      </c>
      <c r="D24" s="3" t="inlineStr">
        <is>
          <t>Payment</t>
        </is>
      </c>
      <c r="E24" s="11" t="n">
        <v>12824.32</v>
      </c>
      <c r="F24" s="3" t="inlineStr">
        <is>
          <t>Pending</t>
        </is>
      </c>
      <c r="G24" s="3" t="inlineStr">
        <is>
          <t>Jennifer Thompson</t>
        </is>
      </c>
      <c r="H24" s="3" t="inlineStr">
        <is>
          <t>EMP0009</t>
        </is>
      </c>
      <c r="I24" s="3" t="inlineStr">
        <is>
          <t>Sales department payment</t>
        </is>
      </c>
      <c r="J24" s="3" t="inlineStr">
        <is>
          <t>Credit Card</t>
        </is>
      </c>
    </row>
    <row r="25">
      <c r="A25" s="2" t="inlineStr">
        <is>
          <t>TXN00056</t>
        </is>
      </c>
      <c r="B25" s="4" t="n">
        <v>45587</v>
      </c>
      <c r="C25" s="3" t="inlineStr">
        <is>
          <t>Finance</t>
        </is>
      </c>
      <c r="D25" s="3" t="inlineStr">
        <is>
          <t>Purchase Order</t>
        </is>
      </c>
      <c r="E25" s="13" t="n">
        <v>2278.84</v>
      </c>
      <c r="F25" s="3" t="inlineStr">
        <is>
          <t>Completed</t>
        </is>
      </c>
      <c r="G25" s="3" t="inlineStr">
        <is>
          <t>William Martin</t>
        </is>
      </c>
      <c r="H25" s="3" t="inlineStr">
        <is>
          <t>EMP0003</t>
        </is>
      </c>
      <c r="I25" s="3" t="inlineStr">
        <is>
          <t>Q4 purchase order processing</t>
        </is>
      </c>
      <c r="J25" s="3" t="inlineStr">
        <is>
          <t>Credit Card</t>
        </is>
      </c>
    </row>
    <row r="26">
      <c r="A26" s="2" t="inlineStr">
        <is>
          <t>TXN00075</t>
        </is>
      </c>
      <c r="B26" s="4" t="n">
        <v>45588</v>
      </c>
      <c r="C26" s="3" t="inlineStr">
        <is>
          <t>IT</t>
        </is>
      </c>
      <c r="D26" s="3" t="inlineStr">
        <is>
          <t>Expense Claim</t>
        </is>
      </c>
      <c r="E26" s="13" t="n">
        <v>1245.95</v>
      </c>
      <c r="F26" s="3" t="inlineStr">
        <is>
          <t>Completed</t>
        </is>
      </c>
      <c r="G26" s="3" t="inlineStr">
        <is>
          <t>Joseph Taylor</t>
        </is>
      </c>
      <c r="H26" s="3" t="inlineStr">
        <is>
          <t>EMP0049</t>
        </is>
      </c>
      <c r="I26" s="3" t="inlineStr">
        <is>
          <t>Vendor expense claim</t>
        </is>
      </c>
      <c r="J26" s="3" t="inlineStr">
        <is>
          <t>Credit Card</t>
        </is>
      </c>
    </row>
    <row r="27">
      <c r="A27" s="2" t="inlineStr">
        <is>
          <t>TXN00020</t>
        </is>
      </c>
      <c r="B27" s="4" t="n">
        <v>45589</v>
      </c>
      <c r="C27" s="3" t="inlineStr">
        <is>
          <t>Operations</t>
        </is>
      </c>
      <c r="D27" s="3" t="inlineStr">
        <is>
          <t>Payment</t>
        </is>
      </c>
      <c r="E27" s="11" t="n">
        <v>17721.41</v>
      </c>
      <c r="F27" s="3" t="inlineStr">
        <is>
          <t>Completed</t>
        </is>
      </c>
      <c r="G27" s="3" t="inlineStr">
        <is>
          <t>Michael Taylor</t>
        </is>
      </c>
      <c r="H27" s="3" t="inlineStr">
        <is>
          <t>EMP0050</t>
        </is>
      </c>
      <c r="I27" s="3" t="inlineStr">
        <is>
          <t>Vendor payment</t>
        </is>
      </c>
      <c r="J27" s="3" t="inlineStr">
        <is>
          <t>Check</t>
        </is>
      </c>
    </row>
    <row r="28">
      <c r="A28" s="2" t="inlineStr">
        <is>
          <t>TXN00002</t>
        </is>
      </c>
      <c r="B28" s="4" t="n">
        <v>45590</v>
      </c>
      <c r="C28" s="3" t="inlineStr">
        <is>
          <t>HR</t>
        </is>
      </c>
      <c r="D28" s="3" t="inlineStr">
        <is>
          <t>Purchase Order</t>
        </is>
      </c>
      <c r="E28" s="12" t="n">
        <v>24805.77</v>
      </c>
      <c r="F28" s="3" t="inlineStr">
        <is>
          <t>Cancelled</t>
        </is>
      </c>
      <c r="G28" s="3" t="inlineStr">
        <is>
          <t>William Moore</t>
        </is>
      </c>
      <c r="H28" s="3" t="inlineStr">
        <is>
          <t>EMP0042</t>
        </is>
      </c>
      <c r="I28" s="3" t="inlineStr">
        <is>
          <t>Purchase Order for project materials</t>
        </is>
      </c>
      <c r="J28" s="3" t="inlineStr">
        <is>
          <t>Bank Transfer</t>
        </is>
      </c>
    </row>
    <row r="29">
      <c r="A29" s="2" t="inlineStr">
        <is>
          <t>TXN00068</t>
        </is>
      </c>
      <c r="B29" s="4" t="n">
        <v>45590</v>
      </c>
      <c r="C29" s="3" t="inlineStr">
        <is>
          <t>HR</t>
        </is>
      </c>
      <c r="D29" s="3" t="inlineStr">
        <is>
          <t>Refund</t>
        </is>
      </c>
      <c r="E29" s="13" t="n">
        <v>2303.49</v>
      </c>
      <c r="F29" s="3" t="inlineStr">
        <is>
          <t>Completed</t>
        </is>
      </c>
      <c r="G29" s="3" t="inlineStr">
        <is>
          <t>Robert Jackson</t>
        </is>
      </c>
      <c r="H29" s="3" t="inlineStr">
        <is>
          <t>EMP0008</t>
        </is>
      </c>
      <c r="I29" s="3" t="inlineStr">
        <is>
          <t>HR department refund</t>
        </is>
      </c>
      <c r="J29" s="3" t="inlineStr">
        <is>
          <t>Wire Transfer</t>
        </is>
      </c>
    </row>
    <row r="30">
      <c r="A30" s="2" t="inlineStr">
        <is>
          <t>TXN00038</t>
        </is>
      </c>
      <c r="B30" s="4" t="n">
        <v>45592</v>
      </c>
      <c r="C30" s="3" t="inlineStr">
        <is>
          <t>HR</t>
        </is>
      </c>
      <c r="D30" s="3" t="inlineStr">
        <is>
          <t>Purchase Order</t>
        </is>
      </c>
      <c r="E30" s="11" t="n">
        <v>18230.03</v>
      </c>
      <c r="F30" s="3" t="inlineStr">
        <is>
          <t>Pending</t>
        </is>
      </c>
      <c r="G30" s="3" t="inlineStr">
        <is>
          <t>William Thompson</t>
        </is>
      </c>
      <c r="H30" s="3" t="inlineStr">
        <is>
          <t>EMP0046</t>
        </is>
      </c>
      <c r="I30" s="3" t="inlineStr">
        <is>
          <t>Client purchase order</t>
        </is>
      </c>
      <c r="J30" s="3" t="inlineStr">
        <is>
          <t>Check</t>
        </is>
      </c>
    </row>
    <row r="31">
      <c r="A31" s="2" t="inlineStr">
        <is>
          <t>TXN00003</t>
        </is>
      </c>
      <c r="B31" s="4" t="n">
        <v>45594</v>
      </c>
      <c r="C31" s="3" t="inlineStr">
        <is>
          <t>Finance</t>
        </is>
      </c>
      <c r="D31" s="3" t="inlineStr">
        <is>
          <t>Payment</t>
        </is>
      </c>
      <c r="E31" s="12" t="n">
        <v>20328.45</v>
      </c>
      <c r="F31" s="3" t="inlineStr">
        <is>
          <t>Completed</t>
        </is>
      </c>
      <c r="G31" s="3" t="inlineStr">
        <is>
          <t>Richard Wilson</t>
        </is>
      </c>
      <c r="H31" s="3" t="inlineStr">
        <is>
          <t>EMP0029</t>
        </is>
      </c>
      <c r="I31" s="3" t="inlineStr">
        <is>
          <t>Client payment</t>
        </is>
      </c>
      <c r="J31" s="3" t="inlineStr">
        <is>
          <t>Credit Card</t>
        </is>
      </c>
    </row>
    <row r="32">
      <c r="A32" s="2" t="inlineStr">
        <is>
          <t>TXN00021</t>
        </is>
      </c>
      <c r="B32" s="4" t="n">
        <v>45594</v>
      </c>
      <c r="C32" s="3" t="inlineStr">
        <is>
          <t>Operations</t>
        </is>
      </c>
      <c r="D32" s="3" t="inlineStr">
        <is>
          <t>Payment</t>
        </is>
      </c>
      <c r="E32" s="12" t="n">
        <v>29632.11</v>
      </c>
      <c r="F32" s="3" t="inlineStr">
        <is>
          <t>Completed</t>
        </is>
      </c>
      <c r="G32" s="3" t="inlineStr">
        <is>
          <t>Richard Wilson</t>
        </is>
      </c>
      <c r="H32" s="3" t="inlineStr">
        <is>
          <t>EMP0024</t>
        </is>
      </c>
      <c r="I32" s="3" t="inlineStr">
        <is>
          <t>Q4 payment processing</t>
        </is>
      </c>
      <c r="J32" s="3" t="inlineStr">
        <is>
          <t>Credit Card</t>
        </is>
      </c>
    </row>
    <row r="33">
      <c r="A33" s="2" t="inlineStr">
        <is>
          <t>TXN00062</t>
        </is>
      </c>
      <c r="B33" s="4" t="n">
        <v>45595</v>
      </c>
      <c r="C33" s="3" t="inlineStr">
        <is>
          <t>IT</t>
        </is>
      </c>
      <c r="D33" s="3" t="inlineStr">
        <is>
          <t>Expense Claim</t>
        </is>
      </c>
      <c r="E33" s="13" t="n">
        <v>2960.09</v>
      </c>
      <c r="F33" s="3" t="inlineStr">
        <is>
          <t>Completed</t>
        </is>
      </c>
      <c r="G33" s="3" t="inlineStr">
        <is>
          <t>David Brown</t>
        </is>
      </c>
      <c r="H33" s="3" t="inlineStr">
        <is>
          <t>EMP0048</t>
        </is>
      </c>
      <c r="I33" s="3" t="inlineStr">
        <is>
          <t>IT department expense claim</t>
        </is>
      </c>
      <c r="J33" s="3" t="inlineStr">
        <is>
          <t>ACH</t>
        </is>
      </c>
    </row>
    <row r="34">
      <c r="A34" s="2" t="inlineStr">
        <is>
          <t>TXN00100</t>
        </is>
      </c>
      <c r="B34" s="4" t="n">
        <v>45595</v>
      </c>
      <c r="C34" s="3" t="inlineStr">
        <is>
          <t>Marketing</t>
        </is>
      </c>
      <c r="D34" s="3" t="inlineStr">
        <is>
          <t>Payment</t>
        </is>
      </c>
      <c r="E34" s="11" t="n">
        <v>11134.26</v>
      </c>
      <c r="F34" s="3" t="inlineStr">
        <is>
          <t>Completed</t>
        </is>
      </c>
      <c r="G34" s="3" t="inlineStr">
        <is>
          <t>William Wilson</t>
        </is>
      </c>
      <c r="H34" s="3" t="inlineStr">
        <is>
          <t>EMP0045</t>
        </is>
      </c>
      <c r="I34" s="3" t="inlineStr">
        <is>
          <t>Marketing department payment</t>
        </is>
      </c>
      <c r="J34" s="3" t="inlineStr">
        <is>
          <t>Check</t>
        </is>
      </c>
    </row>
    <row r="35">
      <c r="A35" s="2" t="inlineStr">
        <is>
          <t>TXN00058</t>
        </is>
      </c>
      <c r="B35" s="4" t="n">
        <v>45597</v>
      </c>
      <c r="C35" s="3" t="inlineStr">
        <is>
          <t>Marketing</t>
        </is>
      </c>
      <c r="D35" s="3" t="inlineStr">
        <is>
          <t>Expense Claim</t>
        </is>
      </c>
      <c r="E35" s="13" t="n">
        <v>920.61</v>
      </c>
      <c r="F35" s="3" t="inlineStr">
        <is>
          <t>Pending</t>
        </is>
      </c>
      <c r="G35" s="3" t="inlineStr">
        <is>
          <t>Daniel Miller</t>
        </is>
      </c>
      <c r="H35" s="3" t="inlineStr">
        <is>
          <t>EMP0046</t>
        </is>
      </c>
      <c r="I35" s="3" t="inlineStr">
        <is>
          <t>Marketing department expense claim</t>
        </is>
      </c>
      <c r="J35" s="3" t="inlineStr">
        <is>
          <t>ACH</t>
        </is>
      </c>
    </row>
    <row r="36">
      <c r="A36" s="2" t="inlineStr">
        <is>
          <t>TXN00085</t>
        </is>
      </c>
      <c r="B36" s="4" t="n">
        <v>45600</v>
      </c>
      <c r="C36" s="3" t="inlineStr">
        <is>
          <t>HR</t>
        </is>
      </c>
      <c r="D36" s="3" t="inlineStr">
        <is>
          <t>Expense Claim</t>
        </is>
      </c>
      <c r="E36" s="13" t="n">
        <v>274.34</v>
      </c>
      <c r="F36" s="3" t="inlineStr">
        <is>
          <t>Pending</t>
        </is>
      </c>
      <c r="G36" s="3" t="inlineStr">
        <is>
          <t>Robert Rodriguez</t>
        </is>
      </c>
      <c r="H36" s="3" t="inlineStr">
        <is>
          <t>EMP0026</t>
        </is>
      </c>
      <c r="I36" s="3" t="inlineStr">
        <is>
          <t>Vendor expense claim</t>
        </is>
      </c>
      <c r="J36" s="3" t="inlineStr">
        <is>
          <t>Bank Transfer</t>
        </is>
      </c>
    </row>
    <row r="37">
      <c r="A37" s="2" t="inlineStr">
        <is>
          <t>TXN00098</t>
        </is>
      </c>
      <c r="B37" s="4" t="n">
        <v>45600</v>
      </c>
      <c r="C37" s="3" t="inlineStr">
        <is>
          <t>HR</t>
        </is>
      </c>
      <c r="D37" s="3" t="inlineStr">
        <is>
          <t>Invoice</t>
        </is>
      </c>
      <c r="E37" s="12" t="n">
        <v>31659.09</v>
      </c>
      <c r="F37" s="3" t="inlineStr">
        <is>
          <t>Completed</t>
        </is>
      </c>
      <c r="G37" s="3" t="inlineStr">
        <is>
          <t>Linda Harris</t>
        </is>
      </c>
      <c r="H37" s="3" t="inlineStr">
        <is>
          <t>EMP0004</t>
        </is>
      </c>
      <c r="I37" s="3" t="inlineStr">
        <is>
          <t>Client invoice</t>
        </is>
      </c>
      <c r="J37" s="3" t="inlineStr">
        <is>
          <t>Credit Card</t>
        </is>
      </c>
    </row>
    <row r="38">
      <c r="A38" s="2" t="inlineStr">
        <is>
          <t>TXN00081</t>
        </is>
      </c>
      <c r="B38" s="4" t="n">
        <v>45601</v>
      </c>
      <c r="C38" s="3" t="inlineStr">
        <is>
          <t>IT</t>
        </is>
      </c>
      <c r="D38" s="3" t="inlineStr">
        <is>
          <t>Invoice</t>
        </is>
      </c>
      <c r="E38" s="13" t="n">
        <v>8415.68</v>
      </c>
      <c r="F38" s="3" t="inlineStr">
        <is>
          <t>Completed</t>
        </is>
      </c>
      <c r="G38" s="3" t="inlineStr">
        <is>
          <t>Linda Harris</t>
        </is>
      </c>
      <c r="H38" s="3" t="inlineStr">
        <is>
          <t>EMP0011</t>
        </is>
      </c>
      <c r="I38" s="3" t="inlineStr">
        <is>
          <t>Client invoice</t>
        </is>
      </c>
      <c r="J38" s="3" t="inlineStr">
        <is>
          <t>ACH</t>
        </is>
      </c>
    </row>
    <row r="39">
      <c r="A39" s="2" t="inlineStr">
        <is>
          <t>TXN00027</t>
        </is>
      </c>
      <c r="B39" s="4" t="n">
        <v>45602</v>
      </c>
      <c r="C39" s="3" t="inlineStr">
        <is>
          <t>Operations</t>
        </is>
      </c>
      <c r="D39" s="3" t="inlineStr">
        <is>
          <t>Invoice</t>
        </is>
      </c>
      <c r="E39" s="13" t="n">
        <v>7369.97</v>
      </c>
      <c r="F39" s="3" t="inlineStr">
        <is>
          <t>Completed</t>
        </is>
      </c>
      <c r="G39" s="3" t="inlineStr">
        <is>
          <t>Betty Davis</t>
        </is>
      </c>
      <c r="H39" s="3" t="inlineStr">
        <is>
          <t>EMP0016</t>
        </is>
      </c>
      <c r="I39" s="3" t="inlineStr">
        <is>
          <t>Client invoice</t>
        </is>
      </c>
      <c r="J39" s="3" t="inlineStr">
        <is>
          <t>Check</t>
        </is>
      </c>
    </row>
    <row r="40">
      <c r="A40" s="2" t="inlineStr">
        <is>
          <t>TXN00089</t>
        </is>
      </c>
      <c r="B40" s="4" t="n">
        <v>45603</v>
      </c>
      <c r="C40" s="3" t="inlineStr">
        <is>
          <t>Marketing</t>
        </is>
      </c>
      <c r="D40" s="3" t="inlineStr">
        <is>
          <t>Expense Claim</t>
        </is>
      </c>
      <c r="E40" s="13" t="n">
        <v>1484.14</v>
      </c>
      <c r="F40" s="3" t="inlineStr">
        <is>
          <t>Cancelled</t>
        </is>
      </c>
      <c r="G40" s="3" t="inlineStr">
        <is>
          <t>David Davis</t>
        </is>
      </c>
      <c r="H40" s="3" t="inlineStr">
        <is>
          <t>EMP0031</t>
        </is>
      </c>
      <c r="I40" s="3" t="inlineStr">
        <is>
          <t>Marketing department expense claim</t>
        </is>
      </c>
      <c r="J40" s="3" t="inlineStr">
        <is>
          <t>Bank Transfer</t>
        </is>
      </c>
    </row>
    <row r="41">
      <c r="A41" s="2" t="inlineStr">
        <is>
          <t>TXN00007</t>
        </is>
      </c>
      <c r="B41" s="4" t="n">
        <v>45606</v>
      </c>
      <c r="C41" s="3" t="inlineStr">
        <is>
          <t>HR</t>
        </is>
      </c>
      <c r="D41" s="3" t="inlineStr">
        <is>
          <t>Payment</t>
        </is>
      </c>
      <c r="E41" s="13" t="n">
        <v>3930.51</v>
      </c>
      <c r="F41" s="3" t="inlineStr">
        <is>
          <t>Completed</t>
        </is>
      </c>
      <c r="G41" s="3" t="inlineStr">
        <is>
          <t>Karen Moore</t>
        </is>
      </c>
      <c r="H41" s="3" t="inlineStr">
        <is>
          <t>EMP0018</t>
        </is>
      </c>
      <c r="I41" s="3" t="inlineStr">
        <is>
          <t>HR department payment</t>
        </is>
      </c>
      <c r="J41" s="3" t="inlineStr">
        <is>
          <t>Credit Card</t>
        </is>
      </c>
    </row>
    <row r="42">
      <c r="A42" s="2" t="inlineStr">
        <is>
          <t>TXN00032</t>
        </is>
      </c>
      <c r="B42" s="4" t="n">
        <v>45606</v>
      </c>
      <c r="C42" s="3" t="inlineStr">
        <is>
          <t>HR</t>
        </is>
      </c>
      <c r="D42" s="3" t="inlineStr">
        <is>
          <t>Payment</t>
        </is>
      </c>
      <c r="E42" s="13" t="n">
        <v>4428.5</v>
      </c>
      <c r="F42" s="3" t="inlineStr">
        <is>
          <t>Cancelled</t>
        </is>
      </c>
      <c r="G42" s="3" t="inlineStr">
        <is>
          <t>Thomas Moore</t>
        </is>
      </c>
      <c r="H42" s="3" t="inlineStr">
        <is>
          <t>EMP0007</t>
        </is>
      </c>
      <c r="I42" s="3" t="inlineStr">
        <is>
          <t>Q4 payment processing</t>
        </is>
      </c>
      <c r="J42" s="3" t="inlineStr">
        <is>
          <t>Credit Card</t>
        </is>
      </c>
    </row>
    <row r="43">
      <c r="A43" s="2" t="inlineStr">
        <is>
          <t>TXN00040</t>
        </is>
      </c>
      <c r="B43" s="4" t="n">
        <v>45606</v>
      </c>
      <c r="C43" s="3" t="inlineStr">
        <is>
          <t>Operations</t>
        </is>
      </c>
      <c r="D43" s="3" t="inlineStr">
        <is>
          <t>Purchase Order</t>
        </is>
      </c>
      <c r="E43" s="11" t="n">
        <v>19127.62</v>
      </c>
      <c r="F43" s="3" t="inlineStr">
        <is>
          <t>Pending</t>
        </is>
      </c>
      <c r="G43" s="3" t="inlineStr">
        <is>
          <t>Charles Martin</t>
        </is>
      </c>
      <c r="H43" s="3" t="inlineStr">
        <is>
          <t>EMP0010</t>
        </is>
      </c>
      <c r="I43" s="3" t="inlineStr">
        <is>
          <t>Purchase Order for project materials</t>
        </is>
      </c>
      <c r="J43" s="3" t="inlineStr">
        <is>
          <t>Credit Card</t>
        </is>
      </c>
    </row>
    <row r="44">
      <c r="A44" s="2" t="inlineStr">
        <is>
          <t>TXN00080</t>
        </is>
      </c>
      <c r="B44" s="4" t="n">
        <v>45607</v>
      </c>
      <c r="C44" s="3" t="inlineStr">
        <is>
          <t>Marketing</t>
        </is>
      </c>
      <c r="D44" s="3" t="inlineStr">
        <is>
          <t>Payment</t>
        </is>
      </c>
      <c r="E44" s="11" t="n">
        <v>12485.59</v>
      </c>
      <c r="F44" s="3" t="inlineStr">
        <is>
          <t>Completed</t>
        </is>
      </c>
      <c r="G44" s="3" t="inlineStr">
        <is>
          <t>William Thomas</t>
        </is>
      </c>
      <c r="H44" s="3" t="inlineStr">
        <is>
          <t>EMP0008</t>
        </is>
      </c>
      <c r="I44" s="3" t="inlineStr">
        <is>
          <t>Client payment</t>
        </is>
      </c>
      <c r="J44" s="3" t="inlineStr">
        <is>
          <t>Bank Transfer</t>
        </is>
      </c>
    </row>
    <row r="45">
      <c r="A45" s="2" t="inlineStr">
        <is>
          <t>TXN00004</t>
        </is>
      </c>
      <c r="B45" s="4" t="n">
        <v>45609</v>
      </c>
      <c r="C45" s="3" t="inlineStr">
        <is>
          <t>Operations</t>
        </is>
      </c>
      <c r="D45" s="3" t="inlineStr">
        <is>
          <t>Payment</t>
        </is>
      </c>
      <c r="E45" s="12" t="n">
        <v>28041.58</v>
      </c>
      <c r="F45" s="3" t="inlineStr">
        <is>
          <t>Completed</t>
        </is>
      </c>
      <c r="G45" s="3" t="inlineStr">
        <is>
          <t>James Rodriguez</t>
        </is>
      </c>
      <c r="H45" s="3" t="inlineStr">
        <is>
          <t>EMP0006</t>
        </is>
      </c>
      <c r="I45" s="3" t="inlineStr">
        <is>
          <t>Operations department payment</t>
        </is>
      </c>
      <c r="J45" s="3" t="inlineStr">
        <is>
          <t>ACH</t>
        </is>
      </c>
    </row>
    <row r="46">
      <c r="A46" s="2" t="inlineStr">
        <is>
          <t>TXN00008</t>
        </is>
      </c>
      <c r="B46" s="4" t="n">
        <v>45610</v>
      </c>
      <c r="C46" s="3" t="inlineStr">
        <is>
          <t>HR</t>
        </is>
      </c>
      <c r="D46" s="3" t="inlineStr">
        <is>
          <t>Payment</t>
        </is>
      </c>
      <c r="E46" s="12" t="n">
        <v>21220.55</v>
      </c>
      <c r="F46" s="3" t="inlineStr">
        <is>
          <t>Completed</t>
        </is>
      </c>
      <c r="G46" s="3" t="inlineStr">
        <is>
          <t>Charles Thomas</t>
        </is>
      </c>
      <c r="H46" s="3" t="inlineStr">
        <is>
          <t>EMP0031</t>
        </is>
      </c>
      <c r="I46" s="3" t="inlineStr">
        <is>
          <t>Vendor payment</t>
        </is>
      </c>
      <c r="J46" s="3" t="inlineStr">
        <is>
          <t>Check</t>
        </is>
      </c>
    </row>
    <row r="47">
      <c r="A47" s="2" t="inlineStr">
        <is>
          <t>TXN00033</t>
        </is>
      </c>
      <c r="B47" s="4" t="n">
        <v>45611</v>
      </c>
      <c r="C47" s="3" t="inlineStr">
        <is>
          <t>Sales</t>
        </is>
      </c>
      <c r="D47" s="3" t="inlineStr">
        <is>
          <t>Purchase Order</t>
        </is>
      </c>
      <c r="E47" s="11" t="n">
        <v>14401.51</v>
      </c>
      <c r="F47" s="3" t="inlineStr">
        <is>
          <t>Completed</t>
        </is>
      </c>
      <c r="G47" s="3" t="inlineStr">
        <is>
          <t>Michael Taylor</t>
        </is>
      </c>
      <c r="H47" s="3" t="inlineStr">
        <is>
          <t>EMP0038</t>
        </is>
      </c>
      <c r="I47" s="3" t="inlineStr">
        <is>
          <t>Purchase Order for project materials</t>
        </is>
      </c>
      <c r="J47" s="3" t="inlineStr">
        <is>
          <t>ACH</t>
        </is>
      </c>
    </row>
    <row r="48">
      <c r="A48" s="2" t="inlineStr">
        <is>
          <t>TXN00036</t>
        </is>
      </c>
      <c r="B48" s="4" t="n">
        <v>45611</v>
      </c>
      <c r="C48" s="3" t="inlineStr">
        <is>
          <t>HR</t>
        </is>
      </c>
      <c r="D48" s="3" t="inlineStr">
        <is>
          <t>Purchase Order</t>
        </is>
      </c>
      <c r="E48" s="13" t="n">
        <v>2276.48</v>
      </c>
      <c r="F48" s="3" t="inlineStr">
        <is>
          <t>Completed</t>
        </is>
      </c>
      <c r="G48" s="3" t="inlineStr">
        <is>
          <t>Thomas Thompson</t>
        </is>
      </c>
      <c r="H48" s="3" t="inlineStr">
        <is>
          <t>EMP0016</t>
        </is>
      </c>
      <c r="I48" s="3" t="inlineStr">
        <is>
          <t>Purchase Order for project materials</t>
        </is>
      </c>
      <c r="J48" s="3" t="inlineStr">
        <is>
          <t>Wire Transfer</t>
        </is>
      </c>
    </row>
    <row r="49">
      <c r="A49" s="2" t="inlineStr">
        <is>
          <t>TXN00063</t>
        </is>
      </c>
      <c r="B49" s="4" t="n">
        <v>45611</v>
      </c>
      <c r="C49" s="3" t="inlineStr">
        <is>
          <t>Operations</t>
        </is>
      </c>
      <c r="D49" s="3" t="inlineStr">
        <is>
          <t>Refund</t>
        </is>
      </c>
      <c r="E49" s="13" t="n">
        <v>3609.82</v>
      </c>
      <c r="F49" s="3" t="inlineStr">
        <is>
          <t>Pending</t>
        </is>
      </c>
      <c r="G49" s="3" t="inlineStr">
        <is>
          <t>Christopher Jackson</t>
        </is>
      </c>
      <c r="H49" s="3" t="inlineStr">
        <is>
          <t>EMP0019</t>
        </is>
      </c>
      <c r="I49" s="3" t="inlineStr">
        <is>
          <t>Q4 refund processing</t>
        </is>
      </c>
      <c r="J49" s="3" t="inlineStr">
        <is>
          <t>Bank Transfer</t>
        </is>
      </c>
    </row>
    <row r="50">
      <c r="A50" s="2" t="inlineStr">
        <is>
          <t>TXN00077</t>
        </is>
      </c>
      <c r="B50" s="4" t="n">
        <v>45611</v>
      </c>
      <c r="C50" s="3" t="inlineStr">
        <is>
          <t>IT</t>
        </is>
      </c>
      <c r="D50" s="3" t="inlineStr">
        <is>
          <t>Purchase Order</t>
        </is>
      </c>
      <c r="E50" s="13" t="n">
        <v>7314.7</v>
      </c>
      <c r="F50" s="3" t="inlineStr">
        <is>
          <t>Pending</t>
        </is>
      </c>
      <c r="G50" s="3" t="inlineStr">
        <is>
          <t>Jessica Thompson</t>
        </is>
      </c>
      <c r="H50" s="3" t="inlineStr">
        <is>
          <t>EMP0011</t>
        </is>
      </c>
      <c r="I50" s="3" t="inlineStr">
        <is>
          <t>IT department purchase order</t>
        </is>
      </c>
      <c r="J50" s="3" t="inlineStr">
        <is>
          <t>Bank Transfer</t>
        </is>
      </c>
    </row>
    <row r="51">
      <c r="A51" s="2" t="inlineStr">
        <is>
          <t>TXN00009</t>
        </is>
      </c>
      <c r="B51" s="4" t="n">
        <v>45613</v>
      </c>
      <c r="C51" s="3" t="inlineStr">
        <is>
          <t>HR</t>
        </is>
      </c>
      <c r="D51" s="3" t="inlineStr">
        <is>
          <t>Expense Claim</t>
        </is>
      </c>
      <c r="E51" s="13" t="n">
        <v>386.7</v>
      </c>
      <c r="F51" s="3" t="inlineStr">
        <is>
          <t>Pending</t>
        </is>
      </c>
      <c r="G51" s="3" t="inlineStr">
        <is>
          <t>Lisa Thompson</t>
        </is>
      </c>
      <c r="H51" s="3" t="inlineStr">
        <is>
          <t>EMP0002</t>
        </is>
      </c>
      <c r="I51" s="3" t="inlineStr">
        <is>
          <t>HR department expense claim</t>
        </is>
      </c>
      <c r="J51" s="3" t="inlineStr">
        <is>
          <t>Credit Card</t>
        </is>
      </c>
    </row>
    <row r="52">
      <c r="A52" s="2" t="inlineStr">
        <is>
          <t>TXN00012</t>
        </is>
      </c>
      <c r="B52" s="4" t="n">
        <v>45613</v>
      </c>
      <c r="C52" s="3" t="inlineStr">
        <is>
          <t>Sales</t>
        </is>
      </c>
      <c r="D52" s="3" t="inlineStr">
        <is>
          <t>Purchase Order</t>
        </is>
      </c>
      <c r="E52" s="13" t="n">
        <v>3907.19</v>
      </c>
      <c r="F52" s="3" t="inlineStr">
        <is>
          <t>Completed</t>
        </is>
      </c>
      <c r="G52" s="3" t="inlineStr">
        <is>
          <t>Emily Wilson</t>
        </is>
      </c>
      <c r="H52" s="3" t="inlineStr">
        <is>
          <t>EMP0038</t>
        </is>
      </c>
      <c r="I52" s="3" t="inlineStr">
        <is>
          <t>Sales department purchase order</t>
        </is>
      </c>
      <c r="J52" s="3" t="inlineStr">
        <is>
          <t>Credit Card</t>
        </is>
      </c>
    </row>
    <row r="53">
      <c r="A53" s="2" t="inlineStr">
        <is>
          <t>TXN00051</t>
        </is>
      </c>
      <c r="B53" s="4" t="n">
        <v>45614</v>
      </c>
      <c r="C53" s="3" t="inlineStr">
        <is>
          <t>HR</t>
        </is>
      </c>
      <c r="D53" s="3" t="inlineStr">
        <is>
          <t>Expense Claim</t>
        </is>
      </c>
      <c r="E53" s="13" t="n">
        <v>2987.82</v>
      </c>
      <c r="F53" s="3" t="inlineStr">
        <is>
          <t>Completed</t>
        </is>
      </c>
      <c r="G53" s="3" t="inlineStr">
        <is>
          <t>John Brown</t>
        </is>
      </c>
      <c r="H53" s="3" t="inlineStr">
        <is>
          <t>EMP0044</t>
        </is>
      </c>
      <c r="I53" s="3" t="inlineStr">
        <is>
          <t>HR department expense claim</t>
        </is>
      </c>
      <c r="J53" s="3" t="inlineStr">
        <is>
          <t>Check</t>
        </is>
      </c>
    </row>
    <row r="54">
      <c r="A54" s="2" t="inlineStr">
        <is>
          <t>TXN00045</t>
        </is>
      </c>
      <c r="B54" s="4" t="n">
        <v>45617</v>
      </c>
      <c r="C54" s="3" t="inlineStr">
        <is>
          <t>HR</t>
        </is>
      </c>
      <c r="D54" s="3" t="inlineStr">
        <is>
          <t>Expense Claim</t>
        </is>
      </c>
      <c r="E54" s="13" t="n">
        <v>2688.72</v>
      </c>
      <c r="F54" s="3" t="inlineStr">
        <is>
          <t>Completed</t>
        </is>
      </c>
      <c r="G54" s="3" t="inlineStr">
        <is>
          <t>Susan Thompson</t>
        </is>
      </c>
      <c r="H54" s="3" t="inlineStr">
        <is>
          <t>EMP0027</t>
        </is>
      </c>
      <c r="I54" s="3" t="inlineStr">
        <is>
          <t>Client expense claim</t>
        </is>
      </c>
      <c r="J54" s="3" t="inlineStr">
        <is>
          <t>Bank Transfer</t>
        </is>
      </c>
    </row>
    <row r="55">
      <c r="A55" s="2" t="inlineStr">
        <is>
          <t>TXN00096</t>
        </is>
      </c>
      <c r="B55" s="4" t="n">
        <v>45618</v>
      </c>
      <c r="C55" s="3" t="inlineStr">
        <is>
          <t>Finance</t>
        </is>
      </c>
      <c r="D55" s="3" t="inlineStr">
        <is>
          <t>Payment</t>
        </is>
      </c>
      <c r="E55" s="12" t="n">
        <v>21618.86</v>
      </c>
      <c r="F55" s="3" t="inlineStr">
        <is>
          <t>Completed</t>
        </is>
      </c>
      <c r="G55" s="3" t="inlineStr">
        <is>
          <t>John Jackson</t>
        </is>
      </c>
      <c r="H55" s="3" t="inlineStr">
        <is>
          <t>EMP0008</t>
        </is>
      </c>
      <c r="I55" s="3" t="inlineStr">
        <is>
          <t>Payment for project materials</t>
        </is>
      </c>
      <c r="J55" s="3" t="inlineStr">
        <is>
          <t>ACH</t>
        </is>
      </c>
    </row>
    <row r="56">
      <c r="A56" s="2" t="inlineStr">
        <is>
          <t>TXN00065</t>
        </is>
      </c>
      <c r="B56" s="4" t="n">
        <v>45619</v>
      </c>
      <c r="C56" s="3" t="inlineStr">
        <is>
          <t>HR</t>
        </is>
      </c>
      <c r="D56" s="3" t="inlineStr">
        <is>
          <t>Expense Claim</t>
        </is>
      </c>
      <c r="E56" s="13" t="n">
        <v>133.52</v>
      </c>
      <c r="F56" s="3" t="inlineStr">
        <is>
          <t>Completed</t>
        </is>
      </c>
      <c r="G56" s="3" t="inlineStr">
        <is>
          <t>Susan Martinez</t>
        </is>
      </c>
      <c r="H56" s="3" t="inlineStr">
        <is>
          <t>EMP0024</t>
        </is>
      </c>
      <c r="I56" s="3" t="inlineStr">
        <is>
          <t>Client expense claim</t>
        </is>
      </c>
      <c r="J56" s="3" t="inlineStr">
        <is>
          <t>Wire Transfer</t>
        </is>
      </c>
    </row>
    <row r="57">
      <c r="A57" s="2" t="inlineStr">
        <is>
          <t>TXN00093</t>
        </is>
      </c>
      <c r="B57" s="4" t="n">
        <v>45619</v>
      </c>
      <c r="C57" s="3" t="inlineStr">
        <is>
          <t>HR</t>
        </is>
      </c>
      <c r="D57" s="3" t="inlineStr">
        <is>
          <t>Invoice</t>
        </is>
      </c>
      <c r="E57" s="12" t="n">
        <v>41810.75</v>
      </c>
      <c r="F57" s="3" t="inlineStr">
        <is>
          <t>Completed</t>
        </is>
      </c>
      <c r="G57" s="3" t="inlineStr">
        <is>
          <t>Robert Taylor</t>
        </is>
      </c>
      <c r="H57" s="3" t="inlineStr">
        <is>
          <t>EMP0005</t>
        </is>
      </c>
      <c r="I57" s="3" t="inlineStr">
        <is>
          <t>Q4 invoice processing</t>
        </is>
      </c>
      <c r="J57" s="3" t="inlineStr">
        <is>
          <t>Check</t>
        </is>
      </c>
    </row>
    <row r="58">
      <c r="A58" s="2" t="inlineStr">
        <is>
          <t>TXN00034</t>
        </is>
      </c>
      <c r="B58" s="4" t="n">
        <v>45620</v>
      </c>
      <c r="C58" s="3" t="inlineStr">
        <is>
          <t>Operations</t>
        </is>
      </c>
      <c r="D58" s="3" t="inlineStr">
        <is>
          <t>Purchase Order</t>
        </is>
      </c>
      <c r="E58" s="11" t="n">
        <v>18630.2</v>
      </c>
      <c r="F58" s="3" t="inlineStr">
        <is>
          <t>Completed</t>
        </is>
      </c>
      <c r="G58" s="3" t="inlineStr">
        <is>
          <t>Barbara Wilson</t>
        </is>
      </c>
      <c r="H58" s="3" t="inlineStr">
        <is>
          <t>EMP0012</t>
        </is>
      </c>
      <c r="I58" s="3" t="inlineStr">
        <is>
          <t>Purchase Order for project materials</t>
        </is>
      </c>
      <c r="J58" s="3" t="inlineStr">
        <is>
          <t>Credit Card</t>
        </is>
      </c>
    </row>
    <row r="59">
      <c r="A59" s="2" t="inlineStr">
        <is>
          <t>TXN00048</t>
        </is>
      </c>
      <c r="B59" s="4" t="n">
        <v>45622</v>
      </c>
      <c r="C59" s="3" t="inlineStr">
        <is>
          <t>Operations</t>
        </is>
      </c>
      <c r="D59" s="3" t="inlineStr">
        <is>
          <t>Invoice</t>
        </is>
      </c>
      <c r="E59" s="12" t="n">
        <v>47323.56</v>
      </c>
      <c r="F59" s="3" t="inlineStr">
        <is>
          <t>Pending</t>
        </is>
      </c>
      <c r="G59" s="3" t="inlineStr">
        <is>
          <t>Susan Rodriguez</t>
        </is>
      </c>
      <c r="H59" s="3" t="inlineStr">
        <is>
          <t>EMP0031</t>
        </is>
      </c>
      <c r="I59" s="3" t="inlineStr">
        <is>
          <t>Operations department invoice</t>
        </is>
      </c>
      <c r="J59" s="3" t="inlineStr">
        <is>
          <t>Bank Transfer</t>
        </is>
      </c>
    </row>
    <row r="60">
      <c r="A60" s="2" t="inlineStr">
        <is>
          <t>TXN00014</t>
        </is>
      </c>
      <c r="B60" s="4" t="n">
        <v>45624</v>
      </c>
      <c r="C60" s="3" t="inlineStr">
        <is>
          <t>IT</t>
        </is>
      </c>
      <c r="D60" s="3" t="inlineStr">
        <is>
          <t>Invoice</t>
        </is>
      </c>
      <c r="E60" s="12" t="n">
        <v>34957.86</v>
      </c>
      <c r="F60" s="3" t="inlineStr">
        <is>
          <t>Pending</t>
        </is>
      </c>
      <c r="G60" s="3" t="inlineStr">
        <is>
          <t>James Jackson</t>
        </is>
      </c>
      <c r="H60" s="3" t="inlineStr">
        <is>
          <t>EMP0014</t>
        </is>
      </c>
      <c r="I60" s="3" t="inlineStr">
        <is>
          <t>Client invoice</t>
        </is>
      </c>
      <c r="J60" s="3" t="inlineStr">
        <is>
          <t>Bank Transfer</t>
        </is>
      </c>
    </row>
    <row r="61">
      <c r="A61" s="2" t="inlineStr">
        <is>
          <t>TXN00091</t>
        </is>
      </c>
      <c r="B61" s="4" t="n">
        <v>45627</v>
      </c>
      <c r="C61" s="3" t="inlineStr">
        <is>
          <t>Finance</t>
        </is>
      </c>
      <c r="D61" s="3" t="inlineStr">
        <is>
          <t>Invoice</t>
        </is>
      </c>
      <c r="E61" s="12" t="n">
        <v>41598.9</v>
      </c>
      <c r="F61" s="3" t="inlineStr">
        <is>
          <t>Pending</t>
        </is>
      </c>
      <c r="G61" s="3" t="inlineStr">
        <is>
          <t>Daniel Martin</t>
        </is>
      </c>
      <c r="H61" s="3" t="inlineStr">
        <is>
          <t>EMP0041</t>
        </is>
      </c>
      <c r="I61" s="3" t="inlineStr">
        <is>
          <t>Client invoice</t>
        </is>
      </c>
      <c r="J61" s="3" t="inlineStr">
        <is>
          <t>Wire Transfer</t>
        </is>
      </c>
    </row>
    <row r="62">
      <c r="A62" s="2" t="inlineStr">
        <is>
          <t>TXN00013</t>
        </is>
      </c>
      <c r="B62" s="4" t="n">
        <v>45628</v>
      </c>
      <c r="C62" s="3" t="inlineStr">
        <is>
          <t>Operations</t>
        </is>
      </c>
      <c r="D62" s="3" t="inlineStr">
        <is>
          <t>Purchase Order</t>
        </is>
      </c>
      <c r="E62" s="11" t="n">
        <v>12610.06</v>
      </c>
      <c r="F62" s="3" t="inlineStr">
        <is>
          <t>Completed</t>
        </is>
      </c>
      <c r="G62" s="3" t="inlineStr">
        <is>
          <t>Linda Jackson</t>
        </is>
      </c>
      <c r="H62" s="3" t="inlineStr">
        <is>
          <t>EMP0006</t>
        </is>
      </c>
      <c r="I62" s="3" t="inlineStr">
        <is>
          <t>Client purchase order</t>
        </is>
      </c>
      <c r="J62" s="3" t="inlineStr">
        <is>
          <t>Bank Transfer</t>
        </is>
      </c>
    </row>
    <row r="63">
      <c r="A63" s="2" t="inlineStr">
        <is>
          <t>TXN00022</t>
        </is>
      </c>
      <c r="B63" s="4" t="n">
        <v>45629</v>
      </c>
      <c r="C63" s="3" t="inlineStr">
        <is>
          <t>Finance</t>
        </is>
      </c>
      <c r="D63" s="3" t="inlineStr">
        <is>
          <t>Expense Claim</t>
        </is>
      </c>
      <c r="E63" s="13" t="n">
        <v>1469.64</v>
      </c>
      <c r="F63" s="3" t="inlineStr">
        <is>
          <t>Completed</t>
        </is>
      </c>
      <c r="G63" s="3" t="inlineStr">
        <is>
          <t>Jennifer Anderson</t>
        </is>
      </c>
      <c r="H63" s="3" t="inlineStr">
        <is>
          <t>EMP0033</t>
        </is>
      </c>
      <c r="I63" s="3" t="inlineStr">
        <is>
          <t>Vendor expense claim</t>
        </is>
      </c>
      <c r="J63" s="3" t="inlineStr">
        <is>
          <t>ACH</t>
        </is>
      </c>
    </row>
    <row r="64">
      <c r="A64" s="2" t="inlineStr">
        <is>
          <t>TXN00069</t>
        </is>
      </c>
      <c r="B64" s="4" t="n">
        <v>45629</v>
      </c>
      <c r="C64" s="3" t="inlineStr">
        <is>
          <t>Operations</t>
        </is>
      </c>
      <c r="D64" s="3" t="inlineStr">
        <is>
          <t>Expense Claim</t>
        </is>
      </c>
      <c r="E64" s="13" t="n">
        <v>2365.22</v>
      </c>
      <c r="F64" s="3" t="inlineStr">
        <is>
          <t>Completed</t>
        </is>
      </c>
      <c r="G64" s="3" t="inlineStr">
        <is>
          <t>Nancy White</t>
        </is>
      </c>
      <c r="H64" s="3" t="inlineStr">
        <is>
          <t>EMP0005</t>
        </is>
      </c>
      <c r="I64" s="3" t="inlineStr">
        <is>
          <t>Operations department expense claim</t>
        </is>
      </c>
      <c r="J64" s="3" t="inlineStr">
        <is>
          <t>Check</t>
        </is>
      </c>
    </row>
    <row r="65">
      <c r="A65" s="2" t="inlineStr">
        <is>
          <t>TXN00099</t>
        </is>
      </c>
      <c r="B65" s="4" t="n">
        <v>45629</v>
      </c>
      <c r="C65" s="3" t="inlineStr">
        <is>
          <t>IT</t>
        </is>
      </c>
      <c r="D65" s="3" t="inlineStr">
        <is>
          <t>Expense Claim</t>
        </is>
      </c>
      <c r="E65" s="13" t="n">
        <v>260.05</v>
      </c>
      <c r="F65" s="3" t="inlineStr">
        <is>
          <t>Completed</t>
        </is>
      </c>
      <c r="G65" s="3" t="inlineStr">
        <is>
          <t>Joseph Wilson</t>
        </is>
      </c>
      <c r="H65" s="3" t="inlineStr">
        <is>
          <t>EMP0045</t>
        </is>
      </c>
      <c r="I65" s="3" t="inlineStr">
        <is>
          <t>Vendor expense claim</t>
        </is>
      </c>
      <c r="J65" s="3" t="inlineStr">
        <is>
          <t>Bank Transfer</t>
        </is>
      </c>
    </row>
    <row r="66">
      <c r="A66" s="2" t="inlineStr">
        <is>
          <t>TXN00028</t>
        </is>
      </c>
      <c r="B66" s="4" t="n">
        <v>45632</v>
      </c>
      <c r="C66" s="3" t="inlineStr">
        <is>
          <t>Sales</t>
        </is>
      </c>
      <c r="D66" s="3" t="inlineStr">
        <is>
          <t>Expense Claim</t>
        </is>
      </c>
      <c r="E66" s="13" t="n">
        <v>1998.48</v>
      </c>
      <c r="F66" s="3" t="inlineStr">
        <is>
          <t>Completed</t>
        </is>
      </c>
      <c r="G66" s="3" t="inlineStr">
        <is>
          <t>Michael Thompson</t>
        </is>
      </c>
      <c r="H66" s="3" t="inlineStr">
        <is>
          <t>EMP0043</t>
        </is>
      </c>
      <c r="I66" s="3" t="inlineStr">
        <is>
          <t>Vendor expense claim</t>
        </is>
      </c>
      <c r="J66" s="3" t="inlineStr">
        <is>
          <t>Wire Transfer</t>
        </is>
      </c>
    </row>
    <row r="67">
      <c r="A67" s="2" t="inlineStr">
        <is>
          <t>TXN00035</t>
        </is>
      </c>
      <c r="B67" s="4" t="n">
        <v>45632</v>
      </c>
      <c r="C67" s="3" t="inlineStr">
        <is>
          <t>Sales</t>
        </is>
      </c>
      <c r="D67" s="3" t="inlineStr">
        <is>
          <t>Refund</t>
        </is>
      </c>
      <c r="E67" s="13" t="n">
        <v>2551.17</v>
      </c>
      <c r="F67" s="3" t="inlineStr">
        <is>
          <t>Completed</t>
        </is>
      </c>
      <c r="G67" s="3" t="inlineStr">
        <is>
          <t>Betty Wilson</t>
        </is>
      </c>
      <c r="H67" s="3" t="inlineStr">
        <is>
          <t>EMP0030</t>
        </is>
      </c>
      <c r="I67" s="3" t="inlineStr">
        <is>
          <t>Client refund</t>
        </is>
      </c>
      <c r="J67" s="3" t="inlineStr">
        <is>
          <t>ACH</t>
        </is>
      </c>
    </row>
    <row r="68">
      <c r="A68" s="2" t="inlineStr">
        <is>
          <t>TXN00018</t>
        </is>
      </c>
      <c r="B68" s="4" t="n">
        <v>45633</v>
      </c>
      <c r="C68" s="3" t="inlineStr">
        <is>
          <t>Finance</t>
        </is>
      </c>
      <c r="D68" s="3" t="inlineStr">
        <is>
          <t>Payment</t>
        </is>
      </c>
      <c r="E68" s="13" t="n">
        <v>5171.68</v>
      </c>
      <c r="F68" s="3" t="inlineStr">
        <is>
          <t>Completed</t>
        </is>
      </c>
      <c r="G68" s="3" t="inlineStr">
        <is>
          <t>David Miller</t>
        </is>
      </c>
      <c r="H68" s="3" t="inlineStr">
        <is>
          <t>EMP0045</t>
        </is>
      </c>
      <c r="I68" s="3" t="inlineStr">
        <is>
          <t>Client payment</t>
        </is>
      </c>
      <c r="J68" s="3" t="inlineStr">
        <is>
          <t>Bank Transfer</t>
        </is>
      </c>
    </row>
    <row r="69">
      <c r="A69" s="2" t="inlineStr">
        <is>
          <t>TXN00026</t>
        </is>
      </c>
      <c r="B69" s="4" t="n">
        <v>45633</v>
      </c>
      <c r="C69" s="3" t="inlineStr">
        <is>
          <t>Marketing</t>
        </is>
      </c>
      <c r="D69" s="3" t="inlineStr">
        <is>
          <t>Payment</t>
        </is>
      </c>
      <c r="E69" s="13" t="n">
        <v>7466.67</v>
      </c>
      <c r="F69" s="3" t="inlineStr">
        <is>
          <t>Pending</t>
        </is>
      </c>
      <c r="G69" s="3" t="inlineStr">
        <is>
          <t>James Garcia</t>
        </is>
      </c>
      <c r="H69" s="3" t="inlineStr">
        <is>
          <t>EMP0015</t>
        </is>
      </c>
      <c r="I69" s="3" t="inlineStr">
        <is>
          <t>Client payment</t>
        </is>
      </c>
      <c r="J69" s="3" t="inlineStr">
        <is>
          <t>Check</t>
        </is>
      </c>
    </row>
    <row r="70">
      <c r="A70" s="2" t="inlineStr">
        <is>
          <t>TXN00090</t>
        </is>
      </c>
      <c r="B70" s="4" t="n">
        <v>45633</v>
      </c>
      <c r="C70" s="3" t="inlineStr">
        <is>
          <t>Sales</t>
        </is>
      </c>
      <c r="D70" s="3" t="inlineStr">
        <is>
          <t>Expense Claim</t>
        </is>
      </c>
      <c r="E70" s="13" t="n">
        <v>1217.72</v>
      </c>
      <c r="F70" s="3" t="inlineStr">
        <is>
          <t>Completed</t>
        </is>
      </c>
      <c r="G70" s="3" t="inlineStr">
        <is>
          <t>Lisa Wilson</t>
        </is>
      </c>
      <c r="H70" s="3" t="inlineStr">
        <is>
          <t>EMP0006</t>
        </is>
      </c>
      <c r="I70" s="3" t="inlineStr">
        <is>
          <t>Sales department expense claim</t>
        </is>
      </c>
      <c r="J70" s="3" t="inlineStr">
        <is>
          <t>Wire Transfer</t>
        </is>
      </c>
    </row>
    <row r="71">
      <c r="A71" s="2" t="inlineStr">
        <is>
          <t>TXN00010</t>
        </is>
      </c>
      <c r="B71" s="4" t="n">
        <v>45634</v>
      </c>
      <c r="C71" s="3" t="inlineStr">
        <is>
          <t>Sales</t>
        </is>
      </c>
      <c r="D71" s="3" t="inlineStr">
        <is>
          <t>Expense Claim</t>
        </is>
      </c>
      <c r="E71" s="13" t="n">
        <v>1351.27</v>
      </c>
      <c r="F71" s="3" t="inlineStr">
        <is>
          <t>Completed</t>
        </is>
      </c>
      <c r="G71" s="3" t="inlineStr">
        <is>
          <t>Betty Thompson</t>
        </is>
      </c>
      <c r="H71" s="3" t="inlineStr">
        <is>
          <t>EMP0045</t>
        </is>
      </c>
      <c r="I71" s="3" t="inlineStr">
        <is>
          <t>Client expense claim</t>
        </is>
      </c>
      <c r="J71" s="3" t="inlineStr">
        <is>
          <t>ACH</t>
        </is>
      </c>
    </row>
    <row r="72">
      <c r="A72" s="2" t="inlineStr">
        <is>
          <t>TXN00019</t>
        </is>
      </c>
      <c r="B72" s="4" t="n">
        <v>45634</v>
      </c>
      <c r="C72" s="3" t="inlineStr">
        <is>
          <t>HR</t>
        </is>
      </c>
      <c r="D72" s="3" t="inlineStr">
        <is>
          <t>Purchase Order</t>
        </is>
      </c>
      <c r="E72" s="13" t="n">
        <v>6912.38</v>
      </c>
      <c r="F72" s="3" t="inlineStr">
        <is>
          <t>Pending</t>
        </is>
      </c>
      <c r="G72" s="3" t="inlineStr">
        <is>
          <t>Jennifer Brown</t>
        </is>
      </c>
      <c r="H72" s="3" t="inlineStr">
        <is>
          <t>EMP0044</t>
        </is>
      </c>
      <c r="I72" s="3" t="inlineStr">
        <is>
          <t>Client purchase order</t>
        </is>
      </c>
      <c r="J72" s="3" t="inlineStr">
        <is>
          <t>Check</t>
        </is>
      </c>
    </row>
    <row r="73">
      <c r="A73" s="2" t="inlineStr">
        <is>
          <t>TXN00049</t>
        </is>
      </c>
      <c r="B73" s="4" t="n">
        <v>45634</v>
      </c>
      <c r="C73" s="3" t="inlineStr">
        <is>
          <t>Operations</t>
        </is>
      </c>
      <c r="D73" s="3" t="inlineStr">
        <is>
          <t>Invoice</t>
        </is>
      </c>
      <c r="E73" s="12" t="n">
        <v>20499.21</v>
      </c>
      <c r="F73" s="3" t="inlineStr">
        <is>
          <t>Completed</t>
        </is>
      </c>
      <c r="G73" s="3" t="inlineStr">
        <is>
          <t>Charles Brown</t>
        </is>
      </c>
      <c r="H73" s="3" t="inlineStr">
        <is>
          <t>EMP0047</t>
        </is>
      </c>
      <c r="I73" s="3" t="inlineStr">
        <is>
          <t>Vendor invoice</t>
        </is>
      </c>
      <c r="J73" s="3" t="inlineStr">
        <is>
          <t>Credit Card</t>
        </is>
      </c>
    </row>
    <row r="74">
      <c r="A74" s="2" t="inlineStr">
        <is>
          <t>TXN00039</t>
        </is>
      </c>
      <c r="B74" s="4" t="n">
        <v>45635</v>
      </c>
      <c r="C74" s="3" t="inlineStr">
        <is>
          <t>IT</t>
        </is>
      </c>
      <c r="D74" s="3" t="inlineStr">
        <is>
          <t>Purchase Order</t>
        </is>
      </c>
      <c r="E74" s="12" t="n">
        <v>24507.58</v>
      </c>
      <c r="F74" s="3" t="inlineStr">
        <is>
          <t>Completed</t>
        </is>
      </c>
      <c r="G74" s="3" t="inlineStr">
        <is>
          <t>Linda Anderson</t>
        </is>
      </c>
      <c r="H74" s="3" t="inlineStr">
        <is>
          <t>EMP0029</t>
        </is>
      </c>
      <c r="I74" s="3" t="inlineStr">
        <is>
          <t>Purchase Order for project materials</t>
        </is>
      </c>
      <c r="J74" s="3" t="inlineStr">
        <is>
          <t>Check</t>
        </is>
      </c>
    </row>
    <row r="75">
      <c r="A75" s="2" t="inlineStr">
        <is>
          <t>TXN00087</t>
        </is>
      </c>
      <c r="B75" s="4" t="n">
        <v>45635</v>
      </c>
      <c r="C75" s="3" t="inlineStr">
        <is>
          <t>Sales</t>
        </is>
      </c>
      <c r="D75" s="3" t="inlineStr">
        <is>
          <t>Payment</t>
        </is>
      </c>
      <c r="E75" s="12" t="n">
        <v>26403.17</v>
      </c>
      <c r="F75" s="3" t="inlineStr">
        <is>
          <t>Completed</t>
        </is>
      </c>
      <c r="G75" s="3" t="inlineStr">
        <is>
          <t>William Thompson</t>
        </is>
      </c>
      <c r="H75" s="3" t="inlineStr">
        <is>
          <t>EMP0010</t>
        </is>
      </c>
      <c r="I75" s="3" t="inlineStr">
        <is>
          <t>Q4 payment processing</t>
        </is>
      </c>
      <c r="J75" s="3" t="inlineStr">
        <is>
          <t>Bank Transfer</t>
        </is>
      </c>
    </row>
    <row r="76">
      <c r="A76" s="2" t="inlineStr">
        <is>
          <t>TXN00029</t>
        </is>
      </c>
      <c r="B76" s="4" t="n">
        <v>45636</v>
      </c>
      <c r="C76" s="3" t="inlineStr">
        <is>
          <t>Finance</t>
        </is>
      </c>
      <c r="D76" s="3" t="inlineStr">
        <is>
          <t>Purchase Order</t>
        </is>
      </c>
      <c r="E76" s="11" t="n">
        <v>13094.8</v>
      </c>
      <c r="F76" s="3" t="inlineStr">
        <is>
          <t>Completed</t>
        </is>
      </c>
      <c r="G76" s="3" t="inlineStr">
        <is>
          <t>Lisa Harris</t>
        </is>
      </c>
      <c r="H76" s="3" t="inlineStr">
        <is>
          <t>EMP0035</t>
        </is>
      </c>
      <c r="I76" s="3" t="inlineStr">
        <is>
          <t>Client purchase order</t>
        </is>
      </c>
      <c r="J76" s="3" t="inlineStr">
        <is>
          <t>Wire Transfer</t>
        </is>
      </c>
    </row>
    <row r="77">
      <c r="A77" s="2" t="inlineStr">
        <is>
          <t>TXN00071</t>
        </is>
      </c>
      <c r="B77" s="4" t="n">
        <v>45637</v>
      </c>
      <c r="C77" s="3" t="inlineStr">
        <is>
          <t>Operations</t>
        </is>
      </c>
      <c r="D77" s="3" t="inlineStr">
        <is>
          <t>Payment</t>
        </is>
      </c>
      <c r="E77" s="13" t="n">
        <v>4806.14</v>
      </c>
      <c r="F77" s="3" t="inlineStr">
        <is>
          <t>Completed</t>
        </is>
      </c>
      <c r="G77" s="3" t="inlineStr">
        <is>
          <t>James Taylor</t>
        </is>
      </c>
      <c r="H77" s="3" t="inlineStr">
        <is>
          <t>EMP0034</t>
        </is>
      </c>
      <c r="I77" s="3" t="inlineStr">
        <is>
          <t>Q4 payment processing</t>
        </is>
      </c>
      <c r="J77" s="3" t="inlineStr">
        <is>
          <t>ACH</t>
        </is>
      </c>
    </row>
    <row r="78">
      <c r="A78" s="2" t="inlineStr">
        <is>
          <t>TXN00074</t>
        </is>
      </c>
      <c r="B78" s="4" t="n">
        <v>45637</v>
      </c>
      <c r="C78" s="3" t="inlineStr">
        <is>
          <t>Sales</t>
        </is>
      </c>
      <c r="D78" s="3" t="inlineStr">
        <is>
          <t>Invoice</t>
        </is>
      </c>
      <c r="E78" s="12" t="n">
        <v>25790.37</v>
      </c>
      <c r="F78" s="3" t="inlineStr">
        <is>
          <t>Completed</t>
        </is>
      </c>
      <c r="G78" s="3" t="inlineStr">
        <is>
          <t>Betty Wilson</t>
        </is>
      </c>
      <c r="H78" s="3" t="inlineStr">
        <is>
          <t>EMP0023</t>
        </is>
      </c>
      <c r="I78" s="3" t="inlineStr">
        <is>
          <t>Sales department invoice</t>
        </is>
      </c>
      <c r="J78" s="3" t="inlineStr">
        <is>
          <t>Bank Transfer</t>
        </is>
      </c>
    </row>
    <row r="79">
      <c r="A79" s="2" t="inlineStr">
        <is>
          <t>TXN00083</t>
        </is>
      </c>
      <c r="B79" s="4" t="n">
        <v>45637</v>
      </c>
      <c r="C79" s="3" t="inlineStr">
        <is>
          <t>Finance</t>
        </is>
      </c>
      <c r="D79" s="3" t="inlineStr">
        <is>
          <t>Refund</t>
        </is>
      </c>
      <c r="E79" s="13" t="n">
        <v>709.29</v>
      </c>
      <c r="F79" s="3" t="inlineStr">
        <is>
          <t>Completed</t>
        </is>
      </c>
      <c r="G79" s="3" t="inlineStr">
        <is>
          <t>Richard Taylor</t>
        </is>
      </c>
      <c r="H79" s="3" t="inlineStr">
        <is>
          <t>EMP0012</t>
        </is>
      </c>
      <c r="I79" s="3" t="inlineStr">
        <is>
          <t>Client refund</t>
        </is>
      </c>
      <c r="J79" s="3" t="inlineStr">
        <is>
          <t>Credit Card</t>
        </is>
      </c>
    </row>
    <row r="80">
      <c r="A80" s="2" t="inlineStr">
        <is>
          <t>TXN00094</t>
        </is>
      </c>
      <c r="B80" s="4" t="n">
        <v>45638</v>
      </c>
      <c r="C80" s="3" t="inlineStr">
        <is>
          <t>Marketing</t>
        </is>
      </c>
      <c r="D80" s="3" t="inlineStr">
        <is>
          <t>Invoice</t>
        </is>
      </c>
      <c r="E80" s="12" t="n">
        <v>48817.7</v>
      </c>
      <c r="F80" s="3" t="inlineStr">
        <is>
          <t>Completed</t>
        </is>
      </c>
      <c r="G80" s="3" t="inlineStr">
        <is>
          <t>Nancy Rodriguez</t>
        </is>
      </c>
      <c r="H80" s="3" t="inlineStr">
        <is>
          <t>EMP0048</t>
        </is>
      </c>
      <c r="I80" s="3" t="inlineStr">
        <is>
          <t>Marketing department invoice</t>
        </is>
      </c>
      <c r="J80" s="3" t="inlineStr">
        <is>
          <t>ACH</t>
        </is>
      </c>
    </row>
    <row r="81">
      <c r="A81" s="2" t="inlineStr">
        <is>
          <t>TXN00017</t>
        </is>
      </c>
      <c r="B81" s="4" t="n">
        <v>45640</v>
      </c>
      <c r="C81" s="3" t="inlineStr">
        <is>
          <t>HR</t>
        </is>
      </c>
      <c r="D81" s="3" t="inlineStr">
        <is>
          <t>Purchase Order</t>
        </is>
      </c>
      <c r="E81" s="13" t="n">
        <v>8661.799999999999</v>
      </c>
      <c r="F81" s="3" t="inlineStr">
        <is>
          <t>Completed</t>
        </is>
      </c>
      <c r="G81" s="3" t="inlineStr">
        <is>
          <t>Michael Wilson</t>
        </is>
      </c>
      <c r="H81" s="3" t="inlineStr">
        <is>
          <t>EMP0049</t>
        </is>
      </c>
      <c r="I81" s="3" t="inlineStr">
        <is>
          <t>Vendor purchase order</t>
        </is>
      </c>
      <c r="J81" s="3" t="inlineStr">
        <is>
          <t>Wire Transfer</t>
        </is>
      </c>
    </row>
    <row r="82">
      <c r="A82" s="2" t="inlineStr">
        <is>
          <t>TXN00044</t>
        </is>
      </c>
      <c r="B82" s="4" t="n">
        <v>45640</v>
      </c>
      <c r="C82" s="3" t="inlineStr">
        <is>
          <t>Sales</t>
        </is>
      </c>
      <c r="D82" s="3" t="inlineStr">
        <is>
          <t>Expense Claim</t>
        </is>
      </c>
      <c r="E82" s="13" t="n">
        <v>2116.67</v>
      </c>
      <c r="F82" s="3" t="inlineStr">
        <is>
          <t>Completed</t>
        </is>
      </c>
      <c r="G82" s="3" t="inlineStr">
        <is>
          <t>Thomas White</t>
        </is>
      </c>
      <c r="H82" s="3" t="inlineStr">
        <is>
          <t>EMP0001</t>
        </is>
      </c>
      <c r="I82" s="3" t="inlineStr">
        <is>
          <t>Client expense claim</t>
        </is>
      </c>
      <c r="J82" s="3" t="inlineStr">
        <is>
          <t>Bank Transfer</t>
        </is>
      </c>
    </row>
    <row r="83">
      <c r="A83" s="2" t="inlineStr">
        <is>
          <t>TXN00067</t>
        </is>
      </c>
      <c r="B83" s="4" t="n">
        <v>45640</v>
      </c>
      <c r="C83" s="3" t="inlineStr">
        <is>
          <t>Sales</t>
        </is>
      </c>
      <c r="D83" s="3" t="inlineStr">
        <is>
          <t>Refund</t>
        </is>
      </c>
      <c r="E83" s="13" t="n">
        <v>496.62</v>
      </c>
      <c r="F83" s="3" t="inlineStr">
        <is>
          <t>Cancelled</t>
        </is>
      </c>
      <c r="G83" s="3" t="inlineStr">
        <is>
          <t>Joseph Wilson</t>
        </is>
      </c>
      <c r="H83" s="3" t="inlineStr">
        <is>
          <t>EMP0019</t>
        </is>
      </c>
      <c r="I83" s="3" t="inlineStr">
        <is>
          <t>Refund for project materials</t>
        </is>
      </c>
      <c r="J83" s="3" t="inlineStr">
        <is>
          <t>Wire Transfer</t>
        </is>
      </c>
    </row>
    <row r="84">
      <c r="A84" s="2" t="inlineStr">
        <is>
          <t>TXN00061</t>
        </is>
      </c>
      <c r="B84" s="4" t="n">
        <v>45641</v>
      </c>
      <c r="C84" s="3" t="inlineStr">
        <is>
          <t>IT</t>
        </is>
      </c>
      <c r="D84" s="3" t="inlineStr">
        <is>
          <t>Payment</t>
        </is>
      </c>
      <c r="E84" s="12" t="n">
        <v>26476.92</v>
      </c>
      <c r="F84" s="3" t="inlineStr">
        <is>
          <t>Pending</t>
        </is>
      </c>
      <c r="G84" s="3" t="inlineStr">
        <is>
          <t>Robert Brown</t>
        </is>
      </c>
      <c r="H84" s="3" t="inlineStr">
        <is>
          <t>EMP0020</t>
        </is>
      </c>
      <c r="I84" s="3" t="inlineStr">
        <is>
          <t>Vendor payment</t>
        </is>
      </c>
      <c r="J84" s="3" t="inlineStr">
        <is>
          <t>Wire Transfer</t>
        </is>
      </c>
    </row>
    <row r="85">
      <c r="A85" s="2" t="inlineStr">
        <is>
          <t>TXN00079</t>
        </is>
      </c>
      <c r="B85" s="4" t="n">
        <v>45641</v>
      </c>
      <c r="C85" s="3" t="inlineStr">
        <is>
          <t>HR</t>
        </is>
      </c>
      <c r="D85" s="3" t="inlineStr">
        <is>
          <t>Invoice</t>
        </is>
      </c>
      <c r="E85" s="11" t="n">
        <v>13201.04</v>
      </c>
      <c r="F85" s="3" t="inlineStr">
        <is>
          <t>Pending</t>
        </is>
      </c>
      <c r="G85" s="3" t="inlineStr">
        <is>
          <t>Thomas Taylor</t>
        </is>
      </c>
      <c r="H85" s="3" t="inlineStr">
        <is>
          <t>EMP0050</t>
        </is>
      </c>
      <c r="I85" s="3" t="inlineStr">
        <is>
          <t>Vendor invoice</t>
        </is>
      </c>
      <c r="J85" s="3" t="inlineStr">
        <is>
          <t>Bank Transfer</t>
        </is>
      </c>
    </row>
    <row r="86">
      <c r="A86" s="2" t="inlineStr">
        <is>
          <t>TXN00076</t>
        </is>
      </c>
      <c r="B86" s="4" t="n">
        <v>45642</v>
      </c>
      <c r="C86" s="3" t="inlineStr">
        <is>
          <t>IT</t>
        </is>
      </c>
      <c r="D86" s="3" t="inlineStr">
        <is>
          <t>Purchase Order</t>
        </is>
      </c>
      <c r="E86" s="13" t="n">
        <v>4370.54</v>
      </c>
      <c r="F86" s="3" t="inlineStr">
        <is>
          <t>Completed</t>
        </is>
      </c>
      <c r="G86" s="3" t="inlineStr">
        <is>
          <t>Jennifer Taylor</t>
        </is>
      </c>
      <c r="H86" s="3" t="inlineStr">
        <is>
          <t>EMP0042</t>
        </is>
      </c>
      <c r="I86" s="3" t="inlineStr">
        <is>
          <t>Purchase Order for project materials</t>
        </is>
      </c>
      <c r="J86" s="3" t="inlineStr">
        <is>
          <t>Credit Card</t>
        </is>
      </c>
    </row>
    <row r="87">
      <c r="A87" s="2" t="inlineStr">
        <is>
          <t>TXN00015</t>
        </is>
      </c>
      <c r="B87" s="4" t="n">
        <v>45643</v>
      </c>
      <c r="C87" s="3" t="inlineStr">
        <is>
          <t>Operations</t>
        </is>
      </c>
      <c r="D87" s="3" t="inlineStr">
        <is>
          <t>Invoice</t>
        </is>
      </c>
      <c r="E87" s="13" t="n">
        <v>6469.69</v>
      </c>
      <c r="F87" s="3" t="inlineStr">
        <is>
          <t>Pending</t>
        </is>
      </c>
      <c r="G87" s="3" t="inlineStr">
        <is>
          <t>Joseph Wilson</t>
        </is>
      </c>
      <c r="H87" s="3" t="inlineStr">
        <is>
          <t>EMP0039</t>
        </is>
      </c>
      <c r="I87" s="3" t="inlineStr">
        <is>
          <t>Q4 invoice processing</t>
        </is>
      </c>
      <c r="J87" s="3" t="inlineStr">
        <is>
          <t>ACH</t>
        </is>
      </c>
    </row>
    <row r="88">
      <c r="A88" s="2" t="inlineStr">
        <is>
          <t>TXN00057</t>
        </is>
      </c>
      <c r="B88" s="4" t="n">
        <v>45643</v>
      </c>
      <c r="C88" s="3" t="inlineStr">
        <is>
          <t>Finance</t>
        </is>
      </c>
      <c r="D88" s="3" t="inlineStr">
        <is>
          <t>Expense Claim</t>
        </is>
      </c>
      <c r="E88" s="13" t="n">
        <v>1826.79</v>
      </c>
      <c r="F88" s="3" t="inlineStr">
        <is>
          <t>Completed</t>
        </is>
      </c>
      <c r="G88" s="3" t="inlineStr">
        <is>
          <t>Patricia Harris</t>
        </is>
      </c>
      <c r="H88" s="3" t="inlineStr">
        <is>
          <t>EMP0012</t>
        </is>
      </c>
      <c r="I88" s="3" t="inlineStr">
        <is>
          <t>Q4 expense claim processing</t>
        </is>
      </c>
      <c r="J88" s="3" t="inlineStr">
        <is>
          <t>Bank Transfer</t>
        </is>
      </c>
    </row>
    <row r="89">
      <c r="A89" s="2" t="inlineStr">
        <is>
          <t>TXN00078</t>
        </is>
      </c>
      <c r="B89" s="4" t="n">
        <v>45644</v>
      </c>
      <c r="C89" s="3" t="inlineStr">
        <is>
          <t>Finance</t>
        </is>
      </c>
      <c r="D89" s="3" t="inlineStr">
        <is>
          <t>Expense Claim</t>
        </is>
      </c>
      <c r="E89" s="13" t="n">
        <v>1150.73</v>
      </c>
      <c r="F89" s="3" t="inlineStr">
        <is>
          <t>Cancelled</t>
        </is>
      </c>
      <c r="G89" s="3" t="inlineStr">
        <is>
          <t>Patricia Wilson</t>
        </is>
      </c>
      <c r="H89" s="3" t="inlineStr">
        <is>
          <t>EMP0027</t>
        </is>
      </c>
      <c r="I89" s="3" t="inlineStr">
        <is>
          <t>Client expense claim</t>
        </is>
      </c>
      <c r="J89" s="3" t="inlineStr">
        <is>
          <t>Bank Transfer</t>
        </is>
      </c>
    </row>
    <row r="90">
      <c r="A90" s="2" t="inlineStr">
        <is>
          <t>TXN00055</t>
        </is>
      </c>
      <c r="B90" s="4" t="n">
        <v>45646</v>
      </c>
      <c r="C90" s="3" t="inlineStr">
        <is>
          <t>IT</t>
        </is>
      </c>
      <c r="D90" s="3" t="inlineStr">
        <is>
          <t>Expense Claim</t>
        </is>
      </c>
      <c r="E90" s="13" t="n">
        <v>1246.47</v>
      </c>
      <c r="F90" s="3" t="inlineStr">
        <is>
          <t>Pending</t>
        </is>
      </c>
      <c r="G90" s="3" t="inlineStr">
        <is>
          <t>John Thomas</t>
        </is>
      </c>
      <c r="H90" s="3" t="inlineStr">
        <is>
          <t>EMP0017</t>
        </is>
      </c>
      <c r="I90" s="3" t="inlineStr">
        <is>
          <t>Vendor expense claim</t>
        </is>
      </c>
      <c r="J90" s="3" t="inlineStr">
        <is>
          <t>Check</t>
        </is>
      </c>
    </row>
    <row r="91">
      <c r="A91" s="2" t="inlineStr">
        <is>
          <t>TXN00016</t>
        </is>
      </c>
      <c r="B91" s="4" t="n">
        <v>45647</v>
      </c>
      <c r="C91" s="3" t="inlineStr">
        <is>
          <t>Marketing</t>
        </is>
      </c>
      <c r="D91" s="3" t="inlineStr">
        <is>
          <t>Refund</t>
        </is>
      </c>
      <c r="E91" s="13" t="n">
        <v>4394.96</v>
      </c>
      <c r="F91" s="3" t="inlineStr">
        <is>
          <t>Completed</t>
        </is>
      </c>
      <c r="G91" s="3" t="inlineStr">
        <is>
          <t>Susan Rodriguez</t>
        </is>
      </c>
      <c r="H91" s="3" t="inlineStr">
        <is>
          <t>EMP0001</t>
        </is>
      </c>
      <c r="I91" s="3" t="inlineStr">
        <is>
          <t>Refund for project materials</t>
        </is>
      </c>
      <c r="J91" s="3" t="inlineStr">
        <is>
          <t>Check</t>
        </is>
      </c>
    </row>
    <row r="92">
      <c r="A92" s="2" t="inlineStr">
        <is>
          <t>TXN00059</t>
        </is>
      </c>
      <c r="B92" s="4" t="n">
        <v>45648</v>
      </c>
      <c r="C92" s="3" t="inlineStr">
        <is>
          <t>HR</t>
        </is>
      </c>
      <c r="D92" s="3" t="inlineStr">
        <is>
          <t>Invoice</t>
        </is>
      </c>
      <c r="E92" s="12" t="n">
        <v>41575.27</v>
      </c>
      <c r="F92" s="3" t="inlineStr">
        <is>
          <t>Pending</t>
        </is>
      </c>
      <c r="G92" s="3" t="inlineStr">
        <is>
          <t>Richard White</t>
        </is>
      </c>
      <c r="H92" s="3" t="inlineStr">
        <is>
          <t>EMP0024</t>
        </is>
      </c>
      <c r="I92" s="3" t="inlineStr">
        <is>
          <t>Client invoice</t>
        </is>
      </c>
      <c r="J92" s="3" t="inlineStr">
        <is>
          <t>Bank Transfer</t>
        </is>
      </c>
    </row>
    <row r="93">
      <c r="A93" s="2" t="inlineStr">
        <is>
          <t>TXN00097</t>
        </is>
      </c>
      <c r="B93" s="4" t="n">
        <v>45648</v>
      </c>
      <c r="C93" s="3" t="inlineStr">
        <is>
          <t>IT</t>
        </is>
      </c>
      <c r="D93" s="3" t="inlineStr">
        <is>
          <t>Invoice</t>
        </is>
      </c>
      <c r="E93" s="11" t="n">
        <v>18841.53</v>
      </c>
      <c r="F93" s="3" t="inlineStr">
        <is>
          <t>Completed</t>
        </is>
      </c>
      <c r="G93" s="3" t="inlineStr">
        <is>
          <t>Susan Taylor</t>
        </is>
      </c>
      <c r="H93" s="3" t="inlineStr">
        <is>
          <t>EMP0037</t>
        </is>
      </c>
      <c r="I93" s="3" t="inlineStr">
        <is>
          <t>Q4 invoice processing</t>
        </is>
      </c>
      <c r="J93" s="3" t="inlineStr">
        <is>
          <t>Wire Transfer</t>
        </is>
      </c>
    </row>
    <row r="94">
      <c r="A94" s="2" t="inlineStr">
        <is>
          <t>TXN00031</t>
        </is>
      </c>
      <c r="B94" s="4" t="n">
        <v>45649</v>
      </c>
      <c r="C94" s="3" t="inlineStr">
        <is>
          <t>Operations</t>
        </is>
      </c>
      <c r="D94" s="3" t="inlineStr">
        <is>
          <t>Purchase Order</t>
        </is>
      </c>
      <c r="E94" s="12" t="n">
        <v>24466.7</v>
      </c>
      <c r="F94" s="3" t="inlineStr">
        <is>
          <t>Cancelled</t>
        </is>
      </c>
      <c r="G94" s="3" t="inlineStr">
        <is>
          <t>Betty Brown</t>
        </is>
      </c>
      <c r="H94" s="3" t="inlineStr">
        <is>
          <t>EMP0050</t>
        </is>
      </c>
      <c r="I94" s="3" t="inlineStr">
        <is>
          <t>Client purchase order</t>
        </is>
      </c>
      <c r="J94" s="3" t="inlineStr">
        <is>
          <t>Wire Transfer</t>
        </is>
      </c>
    </row>
    <row r="95">
      <c r="A95" s="2" t="inlineStr">
        <is>
          <t>TXN00064</t>
        </is>
      </c>
      <c r="B95" s="4" t="n">
        <v>45649</v>
      </c>
      <c r="C95" s="3" t="inlineStr">
        <is>
          <t>Sales</t>
        </is>
      </c>
      <c r="D95" s="3" t="inlineStr">
        <is>
          <t>Refund</t>
        </is>
      </c>
      <c r="E95" s="13" t="n">
        <v>4955.32</v>
      </c>
      <c r="F95" s="3" t="inlineStr">
        <is>
          <t>Completed</t>
        </is>
      </c>
      <c r="G95" s="3" t="inlineStr">
        <is>
          <t>Nancy Miller</t>
        </is>
      </c>
      <c r="H95" s="3" t="inlineStr">
        <is>
          <t>EMP0027</t>
        </is>
      </c>
      <c r="I95" s="3" t="inlineStr">
        <is>
          <t>Vendor refund</t>
        </is>
      </c>
      <c r="J95" s="3" t="inlineStr">
        <is>
          <t>Credit Card</t>
        </is>
      </c>
    </row>
    <row r="96">
      <c r="A96" s="2" t="inlineStr">
        <is>
          <t>TXN00082</t>
        </is>
      </c>
      <c r="B96" s="4" t="n">
        <v>45649</v>
      </c>
      <c r="C96" s="3" t="inlineStr">
        <is>
          <t>Sales</t>
        </is>
      </c>
      <c r="D96" s="3" t="inlineStr">
        <is>
          <t>Payment</t>
        </is>
      </c>
      <c r="E96" s="13" t="n">
        <v>2951.16</v>
      </c>
      <c r="F96" s="3" t="inlineStr">
        <is>
          <t>Completed</t>
        </is>
      </c>
      <c r="G96" s="3" t="inlineStr">
        <is>
          <t>Jennifer Martin</t>
        </is>
      </c>
      <c r="H96" s="3" t="inlineStr">
        <is>
          <t>EMP0032</t>
        </is>
      </c>
      <c r="I96" s="3" t="inlineStr">
        <is>
          <t>Client payment</t>
        </is>
      </c>
      <c r="J96" s="3" t="inlineStr">
        <is>
          <t>Bank Transfer</t>
        </is>
      </c>
    </row>
    <row r="97">
      <c r="A97" s="2" t="inlineStr">
        <is>
          <t>TXN00054</t>
        </is>
      </c>
      <c r="B97" s="4" t="n">
        <v>45650</v>
      </c>
      <c r="C97" s="3" t="inlineStr">
        <is>
          <t>Operations</t>
        </is>
      </c>
      <c r="D97" s="3" t="inlineStr">
        <is>
          <t>Invoice</t>
        </is>
      </c>
      <c r="E97" s="12" t="n">
        <v>21456.36</v>
      </c>
      <c r="F97" s="3" t="inlineStr">
        <is>
          <t>Completed</t>
        </is>
      </c>
      <c r="G97" s="3" t="inlineStr">
        <is>
          <t>Patricia Miller</t>
        </is>
      </c>
      <c r="H97" s="3" t="inlineStr">
        <is>
          <t>EMP0032</t>
        </is>
      </c>
      <c r="I97" s="3" t="inlineStr">
        <is>
          <t>Operations department invoice</t>
        </is>
      </c>
      <c r="J97" s="3" t="inlineStr">
        <is>
          <t>Wire Transfer</t>
        </is>
      </c>
    </row>
    <row r="98">
      <c r="A98" s="2" t="inlineStr">
        <is>
          <t>TXN00030</t>
        </is>
      </c>
      <c r="B98" s="4" t="n">
        <v>45651</v>
      </c>
      <c r="C98" s="3" t="inlineStr">
        <is>
          <t>IT</t>
        </is>
      </c>
      <c r="D98" s="3" t="inlineStr">
        <is>
          <t>Expense Claim</t>
        </is>
      </c>
      <c r="E98" s="13" t="n">
        <v>1488.6</v>
      </c>
      <c r="F98" s="3" t="inlineStr">
        <is>
          <t>Completed</t>
        </is>
      </c>
      <c r="G98" s="3" t="inlineStr">
        <is>
          <t>Christopher Wilson</t>
        </is>
      </c>
      <c r="H98" s="3" t="inlineStr">
        <is>
          <t>EMP0037</t>
        </is>
      </c>
      <c r="I98" s="3" t="inlineStr">
        <is>
          <t>Expense Claim for project materials</t>
        </is>
      </c>
      <c r="J98" s="3" t="inlineStr">
        <is>
          <t>Credit Card</t>
        </is>
      </c>
    </row>
    <row r="99">
      <c r="A99" s="2" t="inlineStr">
        <is>
          <t>TXN00060</t>
        </is>
      </c>
      <c r="B99" s="4" t="n">
        <v>45651</v>
      </c>
      <c r="C99" s="3" t="inlineStr">
        <is>
          <t>Finance</t>
        </is>
      </c>
      <c r="D99" s="3" t="inlineStr">
        <is>
          <t>Invoice</t>
        </is>
      </c>
      <c r="E99" s="12" t="n">
        <v>40408.57</v>
      </c>
      <c r="F99" s="3" t="inlineStr">
        <is>
          <t>Completed</t>
        </is>
      </c>
      <c r="G99" s="3" t="inlineStr">
        <is>
          <t>William Harris</t>
        </is>
      </c>
      <c r="H99" s="3" t="inlineStr">
        <is>
          <t>EMP0029</t>
        </is>
      </c>
      <c r="I99" s="3" t="inlineStr">
        <is>
          <t>Finance department invoice</t>
        </is>
      </c>
      <c r="J99" s="3" t="inlineStr">
        <is>
          <t>Wire Transfer</t>
        </is>
      </c>
    </row>
    <row r="100">
      <c r="A100" s="2" t="inlineStr">
        <is>
          <t>TXN00024</t>
        </is>
      </c>
      <c r="B100" s="4" t="n">
        <v>45652</v>
      </c>
      <c r="C100" s="3" t="inlineStr">
        <is>
          <t>Operations</t>
        </is>
      </c>
      <c r="D100" s="3" t="inlineStr">
        <is>
          <t>Purchase Order</t>
        </is>
      </c>
      <c r="E100" s="13" t="n">
        <v>3127.96</v>
      </c>
      <c r="F100" s="3" t="inlineStr">
        <is>
          <t>Completed</t>
        </is>
      </c>
      <c r="G100" s="3" t="inlineStr">
        <is>
          <t>Thomas Davis</t>
        </is>
      </c>
      <c r="H100" s="3" t="inlineStr">
        <is>
          <t>EMP0041</t>
        </is>
      </c>
      <c r="I100" s="3" t="inlineStr">
        <is>
          <t>Client purchase order</t>
        </is>
      </c>
      <c r="J100" s="3" t="inlineStr">
        <is>
          <t>ACH</t>
        </is>
      </c>
    </row>
    <row r="101">
      <c r="A101" s="2" t="inlineStr">
        <is>
          <t>TXN00001</t>
        </is>
      </c>
      <c r="B101" s="4" t="n">
        <v>45653</v>
      </c>
      <c r="C101" s="3" t="inlineStr">
        <is>
          <t>Marketing</t>
        </is>
      </c>
      <c r="D101" s="3" t="inlineStr">
        <is>
          <t>Refund</t>
        </is>
      </c>
      <c r="E101" s="13" t="n">
        <v>3788.74</v>
      </c>
      <c r="F101" s="3" t="inlineStr">
        <is>
          <t>Completed</t>
        </is>
      </c>
      <c r="G101" s="3" t="inlineStr">
        <is>
          <t>Jennifer Moore</t>
        </is>
      </c>
      <c r="H101" s="3" t="inlineStr">
        <is>
          <t>EMP0012</t>
        </is>
      </c>
      <c r="I101" s="3" t="inlineStr">
        <is>
          <t>Marketing department refund</t>
        </is>
      </c>
      <c r="J101" s="3" t="inlineStr">
        <is>
          <t>Credit Card</t>
        </is>
      </c>
    </row>
  </sheetData>
  <dataValidations count="2">
    <dataValidation sqref="F2:F101" showDropDown="0" showInputMessage="0" showErrorMessage="0" allowBlank="0" errorTitle="Invalid Entry" error="Invalid status" type="list">
      <formula1>"Completed,Pending,Cancelled"</formula1>
    </dataValidation>
    <dataValidation sqref="C2:C101" showDropDown="0" showInputMessage="0" showErrorMessage="0" allowBlank="0" type="list">
      <formula1>"Sales,Marketing,Operations,Finance,IT,HR"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4" t="inlineStr">
        <is>
          <t>Department</t>
        </is>
      </c>
      <c r="B1" s="14" t="inlineStr">
        <is>
          <t>Total Transactions</t>
        </is>
      </c>
      <c r="C1" s="14" t="inlineStr">
        <is>
          <t>Completed</t>
        </is>
      </c>
      <c r="D1" s="14" t="inlineStr">
        <is>
          <t>Pending</t>
        </is>
      </c>
      <c r="E1" s="14" t="inlineStr">
        <is>
          <t>Cancelled</t>
        </is>
      </c>
      <c r="F1" s="14" t="inlineStr">
        <is>
          <t>Total Amount</t>
        </is>
      </c>
      <c r="G1" s="14" t="inlineStr">
        <is>
          <t>Avg Transaction</t>
        </is>
      </c>
      <c r="H1" s="14" t="inlineStr">
        <is>
          <t>Max Transaction</t>
        </is>
      </c>
      <c r="I1" s="14" t="inlineStr">
        <is>
          <t>First Trans ID</t>
        </is>
      </c>
      <c r="J1" s="14" t="inlineStr">
        <is>
          <t>First Trans Amount</t>
        </is>
      </c>
      <c r="K1" s="14" t="inlineStr">
        <is>
          <t>Dynamic Offset Sum</t>
        </is>
      </c>
    </row>
    <row r="2">
      <c r="A2" s="2" t="inlineStr">
        <is>
          <t>Sales</t>
        </is>
      </c>
      <c r="B2" s="3">
        <f>COUNTIF(Transaction_Records!$C$2:$C$101,A2)</f>
        <v/>
      </c>
      <c r="C2" s="3">
        <f>COUNTIFS(Transaction_Records!$C$2:$C$101,A2,Transaction_Records!$F$2:$F$101,"Completed")</f>
        <v/>
      </c>
      <c r="D2" s="3">
        <f>COUNTIFS(Transaction_Records!$C$2:$C$101,A2,Transaction_Records!$F$2:$F$101,"Pending")</f>
        <v/>
      </c>
      <c r="E2" s="3">
        <f>COUNTIFS(Transaction_Records!$C$2:$C$101,A2,Transaction_Records!$F$2:$F$101,"Cancelled")</f>
        <v/>
      </c>
      <c r="F2" s="13">
        <f>SUMIF(Transaction_Records!$C$2:$C$101,A2,Transaction_Records!$E$2:$E$101)</f>
        <v/>
      </c>
      <c r="G2" s="13">
        <f>AVERAGEIF(Transaction_Records!$C$2:$C$101,A2,Transaction_Records!$E$2:$E$101)</f>
        <v/>
      </c>
      <c r="H2" s="13">
        <f>IFERROR(MAX(IF(Transaction_Records!$C$2:$C$101=A2,Transaction_Records!$E$2:$E$101)),0)</f>
        <v/>
      </c>
      <c r="I2" s="3">
        <f>IFERROR(INDEX(Transaction_Records!$A$2:$A$101,MATCH(A2,Transaction_Records!$C$2:$C$101,0)),"-")</f>
        <v/>
      </c>
      <c r="J2" s="13">
        <f>IFERROR(INDEX(Transaction_Records!$E$2:$E$101,MATCH(A2,Transaction_Records!$C$2:$C$101,0)),0)</f>
        <v/>
      </c>
      <c r="K2" s="13">
        <f>IFERROR(SUM(OFFSET(Transaction_Records!$E$2,MATCH(A2,Transaction_Records!$C$2:$C$101,0)-1,0,10,1)),0)</f>
        <v/>
      </c>
    </row>
    <row r="3">
      <c r="A3" s="2" t="inlineStr">
        <is>
          <t>Marketing</t>
        </is>
      </c>
      <c r="B3" s="3">
        <f>COUNTIF(Transaction_Records!$C$2:$C$101,A3)</f>
        <v/>
      </c>
      <c r="C3" s="3">
        <f>COUNTIFS(Transaction_Records!$C$2:$C$101,A3,Transaction_Records!$F$2:$F$101,"Completed")</f>
        <v/>
      </c>
      <c r="D3" s="3">
        <f>COUNTIFS(Transaction_Records!$C$2:$C$101,A3,Transaction_Records!$F$2:$F$101,"Pending")</f>
        <v/>
      </c>
      <c r="E3" s="3">
        <f>COUNTIFS(Transaction_Records!$C$2:$C$101,A3,Transaction_Records!$F$2:$F$101,"Cancelled")</f>
        <v/>
      </c>
      <c r="F3" s="13">
        <f>SUMIF(Transaction_Records!$C$2:$C$101,A3,Transaction_Records!$E$2:$E$101)</f>
        <v/>
      </c>
      <c r="G3" s="13">
        <f>AVERAGEIF(Transaction_Records!$C$2:$C$101,A3,Transaction_Records!$E$2:$E$101)</f>
        <v/>
      </c>
      <c r="H3" s="13">
        <f>IFERROR(MAX(IF(Transaction_Records!$C$2:$C$101=A3,Transaction_Records!$E$2:$E$101)),0)</f>
        <v/>
      </c>
      <c r="I3" s="3">
        <f>IFERROR(INDEX(Transaction_Records!$A$2:$A$101,MATCH(A3,Transaction_Records!$C$2:$C$101,0)),"-")</f>
        <v/>
      </c>
      <c r="J3" s="13">
        <f>IFERROR(INDEX(Transaction_Records!$E$2:$E$101,MATCH(A3,Transaction_Records!$C$2:$C$101,0)),0)</f>
        <v/>
      </c>
      <c r="K3" s="13">
        <f>IFERROR(SUM(OFFSET(Transaction_Records!$E$2,MATCH(A3,Transaction_Records!$C$2:$C$101,0)-1,0,10,1)),0)</f>
        <v/>
      </c>
    </row>
    <row r="4">
      <c r="A4" s="2" t="inlineStr">
        <is>
          <t>Operations</t>
        </is>
      </c>
      <c r="B4" s="3">
        <f>COUNTIF(Transaction_Records!$C$2:$C$101,A4)</f>
        <v/>
      </c>
      <c r="C4" s="3">
        <f>COUNTIFS(Transaction_Records!$C$2:$C$101,A4,Transaction_Records!$F$2:$F$101,"Completed")</f>
        <v/>
      </c>
      <c r="D4" s="3">
        <f>COUNTIFS(Transaction_Records!$C$2:$C$101,A4,Transaction_Records!$F$2:$F$101,"Pending")</f>
        <v/>
      </c>
      <c r="E4" s="3">
        <f>COUNTIFS(Transaction_Records!$C$2:$C$101,A4,Transaction_Records!$F$2:$F$101,"Cancelled")</f>
        <v/>
      </c>
      <c r="F4" s="13">
        <f>SUMIF(Transaction_Records!$C$2:$C$101,A4,Transaction_Records!$E$2:$E$101)</f>
        <v/>
      </c>
      <c r="G4" s="13">
        <f>AVERAGEIF(Transaction_Records!$C$2:$C$101,A4,Transaction_Records!$E$2:$E$101)</f>
        <v/>
      </c>
      <c r="H4" s="13">
        <f>IFERROR(MAX(IF(Transaction_Records!$C$2:$C$101=A4,Transaction_Records!$E$2:$E$101)),0)</f>
        <v/>
      </c>
      <c r="I4" s="3">
        <f>IFERROR(INDEX(Transaction_Records!$A$2:$A$101,MATCH(A4,Transaction_Records!$C$2:$C$101,0)),"-")</f>
        <v/>
      </c>
      <c r="J4" s="13">
        <f>IFERROR(INDEX(Transaction_Records!$E$2:$E$101,MATCH(A4,Transaction_Records!$C$2:$C$101,0)),0)</f>
        <v/>
      </c>
      <c r="K4" s="13">
        <f>IFERROR(SUM(OFFSET(Transaction_Records!$E$2,MATCH(A4,Transaction_Records!$C$2:$C$101,0)-1,0,10,1)),0)</f>
        <v/>
      </c>
    </row>
    <row r="5">
      <c r="A5" s="2" t="inlineStr">
        <is>
          <t>Finance</t>
        </is>
      </c>
      <c r="B5" s="3">
        <f>COUNTIF(Transaction_Records!$C$2:$C$101,A5)</f>
        <v/>
      </c>
      <c r="C5" s="3">
        <f>COUNTIFS(Transaction_Records!$C$2:$C$101,A5,Transaction_Records!$F$2:$F$101,"Completed")</f>
        <v/>
      </c>
      <c r="D5" s="3">
        <f>COUNTIFS(Transaction_Records!$C$2:$C$101,A5,Transaction_Records!$F$2:$F$101,"Pending")</f>
        <v/>
      </c>
      <c r="E5" s="3">
        <f>COUNTIFS(Transaction_Records!$C$2:$C$101,A5,Transaction_Records!$F$2:$F$101,"Cancelled")</f>
        <v/>
      </c>
      <c r="F5" s="13">
        <f>SUMIF(Transaction_Records!$C$2:$C$101,A5,Transaction_Records!$E$2:$E$101)</f>
        <v/>
      </c>
      <c r="G5" s="13">
        <f>AVERAGEIF(Transaction_Records!$C$2:$C$101,A5,Transaction_Records!$E$2:$E$101)</f>
        <v/>
      </c>
      <c r="H5" s="13">
        <f>IFERROR(MAX(IF(Transaction_Records!$C$2:$C$101=A5,Transaction_Records!$E$2:$E$101)),0)</f>
        <v/>
      </c>
      <c r="I5" s="3">
        <f>IFERROR(INDEX(Transaction_Records!$A$2:$A$101,MATCH(A5,Transaction_Records!$C$2:$C$101,0)),"-")</f>
        <v/>
      </c>
      <c r="J5" s="13">
        <f>IFERROR(INDEX(Transaction_Records!$E$2:$E$101,MATCH(A5,Transaction_Records!$C$2:$C$101,0)),0)</f>
        <v/>
      </c>
      <c r="K5" s="13">
        <f>IFERROR(SUM(OFFSET(Transaction_Records!$E$2,MATCH(A5,Transaction_Records!$C$2:$C$101,0)-1,0,10,1)),0)</f>
        <v/>
      </c>
    </row>
    <row r="6">
      <c r="A6" s="2" t="inlineStr">
        <is>
          <t>IT</t>
        </is>
      </c>
      <c r="B6" s="3">
        <f>COUNTIF(Transaction_Records!$C$2:$C$101,A6)</f>
        <v/>
      </c>
      <c r="C6" s="3">
        <f>COUNTIFS(Transaction_Records!$C$2:$C$101,A6,Transaction_Records!$F$2:$F$101,"Completed")</f>
        <v/>
      </c>
      <c r="D6" s="3">
        <f>COUNTIFS(Transaction_Records!$C$2:$C$101,A6,Transaction_Records!$F$2:$F$101,"Pending")</f>
        <v/>
      </c>
      <c r="E6" s="3">
        <f>COUNTIFS(Transaction_Records!$C$2:$C$101,A6,Transaction_Records!$F$2:$F$101,"Cancelled")</f>
        <v/>
      </c>
      <c r="F6" s="13">
        <f>SUMIF(Transaction_Records!$C$2:$C$101,A6,Transaction_Records!$E$2:$E$101)</f>
        <v/>
      </c>
      <c r="G6" s="13">
        <f>AVERAGEIF(Transaction_Records!$C$2:$C$101,A6,Transaction_Records!$E$2:$E$101)</f>
        <v/>
      </c>
      <c r="H6" s="13">
        <f>IFERROR(MAX(IF(Transaction_Records!$C$2:$C$101=A6,Transaction_Records!$E$2:$E$101)),0)</f>
        <v/>
      </c>
      <c r="I6" s="3">
        <f>IFERROR(INDEX(Transaction_Records!$A$2:$A$101,MATCH(A6,Transaction_Records!$C$2:$C$101,0)),"-")</f>
        <v/>
      </c>
      <c r="J6" s="13">
        <f>IFERROR(INDEX(Transaction_Records!$E$2:$E$101,MATCH(A6,Transaction_Records!$C$2:$C$101,0)),0)</f>
        <v/>
      </c>
      <c r="K6" s="13">
        <f>IFERROR(SUM(OFFSET(Transaction_Records!$E$2,MATCH(A6,Transaction_Records!$C$2:$C$101,0)-1,0,10,1)),0)</f>
        <v/>
      </c>
    </row>
    <row r="7">
      <c r="A7" s="2" t="inlineStr">
        <is>
          <t>HR</t>
        </is>
      </c>
      <c r="B7" s="3">
        <f>COUNTIF(Transaction_Records!$C$2:$C$101,A7)</f>
        <v/>
      </c>
      <c r="C7" s="3">
        <f>COUNTIFS(Transaction_Records!$C$2:$C$101,A7,Transaction_Records!$F$2:$F$101,"Completed")</f>
        <v/>
      </c>
      <c r="D7" s="3">
        <f>COUNTIFS(Transaction_Records!$C$2:$C$101,A7,Transaction_Records!$F$2:$F$101,"Pending")</f>
        <v/>
      </c>
      <c r="E7" s="3">
        <f>COUNTIFS(Transaction_Records!$C$2:$C$101,A7,Transaction_Records!$F$2:$F$101,"Cancelled")</f>
        <v/>
      </c>
      <c r="F7" s="13">
        <f>SUMIF(Transaction_Records!$C$2:$C$101,A7,Transaction_Records!$E$2:$E$101)</f>
        <v/>
      </c>
      <c r="G7" s="13">
        <f>AVERAGEIF(Transaction_Records!$C$2:$C$101,A7,Transaction_Records!$E$2:$E$101)</f>
        <v/>
      </c>
      <c r="H7" s="13">
        <f>IFERROR(MAX(IF(Transaction_Records!$C$2:$C$101=A7,Transaction_Records!$E$2:$E$101)),0)</f>
        <v/>
      </c>
      <c r="I7" s="3">
        <f>IFERROR(INDEX(Transaction_Records!$A$2:$A$101,MATCH(A7,Transaction_Records!$C$2:$C$101,0)),"-")</f>
        <v/>
      </c>
      <c r="J7" s="13">
        <f>IFERROR(INDEX(Transaction_Records!$E$2:$E$101,MATCH(A7,Transaction_Records!$C$2:$C$101,0)),0)</f>
        <v/>
      </c>
      <c r="K7" s="13">
        <f>IFERROR(SUM(OFFSET(Transaction_Records!$E$2,MATCH(A7,Transaction_Records!$C$2:$C$101,0)-1,0,10,1)),0)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PIVOTTABLE PLACEHOLDER</t>
        </is>
      </c>
    </row>
    <row r="3">
      <c r="A3" s="9" t="inlineStr">
        <is>
          <t>Instructions:</t>
        </is>
      </c>
    </row>
    <row r="4">
      <c r="A4" t="inlineStr">
        <is>
          <t>1. Select any cell in the 'Transaction_Records' sheet</t>
        </is>
      </c>
    </row>
    <row r="5">
      <c r="A5" t="inlineStr">
        <is>
          <t>2. Go to Insert &gt; PivotTable</t>
        </is>
      </c>
    </row>
    <row r="6">
      <c r="A6" t="inlineStr">
        <is>
          <t>3. Place the PivotTable in this sheet</t>
        </is>
      </c>
    </row>
    <row r="7">
      <c r="A7" t="inlineStr">
        <is>
          <t>4. Recommended configuration:</t>
        </is>
      </c>
    </row>
    <row r="8">
      <c r="A8" t="inlineStr">
        <is>
          <t xml:space="preserve">   - Rows: Department, Transaction Type</t>
        </is>
      </c>
    </row>
    <row r="9">
      <c r="A9" t="inlineStr">
        <is>
          <t xml:space="preserve">   - Values: Sum of Amount, Count of Transaction ID</t>
        </is>
      </c>
    </row>
    <row r="10">
      <c r="A10" t="inlineStr">
        <is>
          <t xml:space="preserve">   - Filters: Status, Date</t>
        </is>
      </c>
    </row>
    <row r="11">
      <c r="A11" t="inlineStr">
        <is>
          <t>5. Consider adding a PivotChart for visual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2026-01-08T22:21:33Z</dcterms:created>
  <dcterms:modified xsi:type="dcterms:W3CDTF">2026-01-08T22:21:33Z</dcterms:modified>
</cp:coreProperties>
</file>